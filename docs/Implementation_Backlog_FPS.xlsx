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</sheets>
  <definedNames>
    <definedName function="false" hidden="true" localSheetId="0" name="_xlnm._FilterDatabase" vbProcedure="false">Backlog!$A$1:$I$251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<sst xmlns="http://schemas.openxmlformats.org/spreadsheetml/2006/main" count="2038" uniqueCount="1099">
  <si>
    <t xml:space="preserve">№ задачи</t>
  </si>
  <si>
    <t xml:space="preserve">Фаза</t>
  </si>
  <si>
    <t xml:space="preserve">Модуль</t>
  </si>
  <si>
    <t xml:space="preserve">Название задачи</t>
  </si>
  <si>
    <t xml:space="preserve">Приоритет</t>
  </si>
  <si>
    <t xml:space="preserve">Зависимости</t>
  </si>
  <si>
    <t xml:space="preserve">Результат (deliverable)</t>
  </si>
  <si>
    <t xml:space="preserve">Критерии готовности (DoD)</t>
  </si>
  <si>
    <t xml:space="preserve">Оценка, ч</t>
  </si>
  <si>
    <t xml:space="preserve">F001</t>
  </si>
  <si>
    <t xml:space="preserve">0. Foundation</t>
  </si>
  <si>
    <t xml:space="preserve">Foundation</t>
  </si>
  <si>
    <t xml:space="preserve">Инициализировать монорепозиторий (backend/, frontend/, pyproject.toml, package.json)</t>
  </si>
  <si>
    <t xml:space="preserve">P0</t>
  </si>
  <si>
    <t xml:space="preserve">—</t>
  </si>
  <si>
    <t xml:space="preserve">Скелет репозитория с двумя корневыми папками</t>
  </si>
  <si>
    <t xml:space="preserve">Репозиторий клонируется, обе папки существуют, README с описанием структуры</t>
  </si>
  <si>
    <t xml:space="preserve">F002</t>
  </si>
  <si>
    <t xml:space="preserve">Настроить ruff/black/mypy для backend</t>
  </si>
  <si>
    <t xml:space="preserve">Конфиги ruff.toml/mypy.ini + Makefile-таргет lint</t>
  </si>
  <si>
    <t xml:space="preserve">make lint проходит на пустом проекте без ошибок</t>
  </si>
  <si>
    <t xml:space="preserve">F003</t>
  </si>
  <si>
    <t xml:space="preserve">Настроить ESLint/Prettier для frontend</t>
  </si>
  <si>
    <t xml:space="preserve">eslint.config.js + prettier config</t>
  </si>
  <si>
    <t xml:space="preserve">npm run lint проходит на пустом Next.js проекте</t>
  </si>
  <si>
    <t xml:space="preserve">F004</t>
  </si>
  <si>
    <t xml:space="preserve">Docker-compose для локальной разработки (Postgres 16, Redis 7)</t>
  </si>
  <si>
    <t xml:space="preserve">docker-compose.yml</t>
  </si>
  <si>
    <t xml:space="preserve">docker compose up поднимает Postgres и Redis, health-check зелёный</t>
  </si>
  <si>
    <t xml:space="preserve">F005</t>
  </si>
  <si>
    <t xml:space="preserve">Настроить pre-commit hooks (lint+format при коммите)</t>
  </si>
  <si>
    <t xml:space="preserve">P1</t>
  </si>
  <si>
    <t xml:space="preserve">F002,F003</t>
  </si>
  <si>
    <t xml:space="preserve">.pre-commit-config.yaml</t>
  </si>
  <si>
    <t xml:space="preserve">Коммит с ошибкой линта блокируется локально</t>
  </si>
  <si>
    <t xml:space="preserve">F006</t>
  </si>
  <si>
    <t xml:space="preserve">CI-скелет: GitHub Actions, job lint+test на PR</t>
  </si>
  <si>
    <t xml:space="preserve">.github/workflows/ci.yml</t>
  </si>
  <si>
    <t xml:space="preserve">PR с намеренной ошибкой линта получает красный статус</t>
  </si>
  <si>
    <t xml:space="preserve">F007</t>
  </si>
  <si>
    <t xml:space="preserve">pydantic-settings BaseSettings (DSN БД, Redis URL, JWT-ключ)</t>
  </si>
  <si>
    <t xml:space="preserve">composition/settings.py</t>
  </si>
  <si>
    <t xml:space="preserve">Приложение падает с понятной ошибкой при отсутствии обязательной переменной окружения</t>
  </si>
  <si>
    <t xml:space="preserve">F008</t>
  </si>
  <si>
    <t xml:space="preserve">building_blocks/domain: базовые Entity, AggregateRoot, ValueObject, DomainEvent</t>
  </si>
  <si>
    <t xml:space="preserve">Пакет building_blocks/domain</t>
  </si>
  <si>
    <t xml:space="preserve">Модульный тест создаёт наследника AggregateRoot и проверяет накопление доменных событий</t>
  </si>
  <si>
    <t xml:space="preserve">F009</t>
  </si>
  <si>
    <t xml:space="preserve">building_blocks/application: Protocol Command/Query/Handler</t>
  </si>
  <si>
    <t xml:space="preserve">Пакет building_blocks/application</t>
  </si>
  <si>
    <t xml:space="preserve">mypy проходит на примере фиктивного Command+Handler</t>
  </si>
  <si>
    <t xml:space="preserve">F010</t>
  </si>
  <si>
    <t xml:space="preserve">building_blocks/infrastructure: Protocol UnitOfWork/EventBus/Clock</t>
  </si>
  <si>
    <t xml:space="preserve">Пакет building_blocks/infrastructure</t>
  </si>
  <si>
    <t xml:space="preserve">Фиктивная in-memory реализация каждого Protocol проходит тест на соответствие интерфейсу</t>
  </si>
  <si>
    <t xml:space="preserve">F011</t>
  </si>
  <si>
    <t xml:space="preserve">composition/settings.py подключён к остальным пакетам</t>
  </si>
  <si>
    <t xml:space="preserve">Settings импортируется без циклических зависимостей</t>
  </si>
  <si>
    <t xml:space="preserve">import-граф не содержит циклов (проверка вручную/скриптом)</t>
  </si>
  <si>
    <t xml:space="preserve">F012</t>
  </si>
  <si>
    <t xml:space="preserve">composition/api_app.py — пустой FastAPI() с health-check</t>
  </si>
  <si>
    <t xml:space="preserve">GET /health возвращает 200</t>
  </si>
  <si>
    <t xml:space="preserve">uvicorn composition.api_app:app стартует, /health отвечает status ok</t>
  </si>
  <si>
    <t xml:space="preserve">F013</t>
  </si>
  <si>
    <t xml:space="preserve">composition/worker_app.py — пустой Celery() с тестовой задачей</t>
  </si>
  <si>
    <t xml:space="preserve">Celery-приложение с одной ping-задачей</t>
  </si>
  <si>
    <t xml:space="preserve">celery worker стартует и выполняет ping-задачу</t>
  </si>
  <si>
    <t xml:space="preserve">F014</t>
  </si>
  <si>
    <t xml:space="preserve">Настроить import-linter (проверка границ модулей)</t>
  </si>
  <si>
    <t xml:space="preserve">.importlinter конфиг с контрактами Architecture разд.6</t>
  </si>
  <si>
    <t xml:space="preserve">CI падает при намеренном импорте domain одного модуля в infrastructure другого</t>
  </si>
  <si>
    <t xml:space="preserve">F015</t>
  </si>
  <si>
    <t xml:space="preserve">Написать CONTRIBUTING.md (правила границ модулей, воркфлоу задач)</t>
  </si>
  <si>
    <t xml:space="preserve">P2</t>
  </si>
  <si>
    <t xml:space="preserve">CONTRIBUTING.md</t>
  </si>
  <si>
    <t xml:space="preserve">Документ содержит таблицу разрешённых/запрещённых зависимостей из Architecture разд.7</t>
  </si>
  <si>
    <t xml:space="preserve">DB001</t>
  </si>
  <si>
    <t xml:space="preserve">1. Database</t>
  </si>
  <si>
    <t xml:space="preserve">DB</t>
  </si>
  <si>
    <t xml:space="preserve">Migration 0001: расширения btree_gist, ltree, pgcrypto</t>
  </si>
  <si>
    <t xml:space="preserve">Alembic migration 0001</t>
  </si>
  <si>
    <t xml:space="preserve">alembic upgrade head включает все три расширения на чистой БД</t>
  </si>
  <si>
    <t xml:space="preserve">DB002</t>
  </si>
  <si>
    <t xml:space="preserve">Схема legal_rules + enum-типы</t>
  </si>
  <si>
    <t xml:space="preserve">Migration 0002</t>
  </si>
  <si>
    <t xml:space="preserve">psql dn показывает схему legal_rules, dT показывает 4 enum-типа</t>
  </si>
  <si>
    <t xml:space="preserve">DB003</t>
  </si>
  <si>
    <t xml:space="preserve">Таблица normative_document + ограничения уникальности/валидности</t>
  </si>
  <si>
    <t xml:space="preserve">Migration 0003</t>
  </si>
  <si>
    <t xml:space="preserve">Вставка дубликата (doc_type,reg_number,adopted_date) падает с ошибкой уникальности</t>
  </si>
  <si>
    <t xml:space="preserve">DB004</t>
  </si>
  <si>
    <t xml:space="preserve">Таблица document_node (иерархия глава/статья/пункт) + индексы</t>
  </si>
  <si>
    <t xml:space="preserve">Migration 0004</t>
  </si>
  <si>
    <t xml:space="preserve">Вставка узла с несуществующим document_id падает по FK</t>
  </si>
  <si>
    <t xml:space="preserve">DB005</t>
  </si>
  <si>
    <t xml:space="preserve">Таблицы rule + rule_version c EXCLUDE-ограничением</t>
  </si>
  <si>
    <t xml:space="preserve">Migration 0005</t>
  </si>
  <si>
    <t xml:space="preserve">Вставка второй published-версии с пересекающимся периодом для (rule_id,scope) падает с 23P01</t>
  </si>
  <si>
    <t xml:space="preserve">DB006</t>
  </si>
  <si>
    <t xml:space="preserve">Таблицы conflict_resolution_policy(+version)</t>
  </si>
  <si>
    <t xml:space="preserve">Migration 0006</t>
  </si>
  <si>
    <t xml:space="preserve">Аналогичный EXCLUDE-тест для policy_version проходит</t>
  </si>
  <si>
    <t xml:space="preserve">DB007</t>
  </si>
  <si>
    <t xml:space="preserve">Схема personnel + enum-типы</t>
  </si>
  <si>
    <t xml:space="preserve">Migration 0007</t>
  </si>
  <si>
    <t xml:space="preserve">dn показывает personnel, dT показывает 4 enum-типа</t>
  </si>
  <si>
    <t xml:space="preserve">DB008</t>
  </si>
  <si>
    <t xml:space="preserve">Таблица unit (ltree hierarchy_path) + gist-индекс</t>
  </si>
  <si>
    <t xml:space="preserve">Migration 0008</t>
  </si>
  <si>
    <t xml:space="preserve">Запрос по ltree-иерархии использует gist-индекс (EXPLAIN)</t>
  </si>
  <si>
    <t xml:space="preserve">DB009</t>
  </si>
  <si>
    <t xml:space="preserve">Таблица position</t>
  </si>
  <si>
    <t xml:space="preserve">Migration 0009</t>
  </si>
  <si>
    <t xml:space="preserve">Уникальность code проверена тестом на дубликат</t>
  </si>
  <si>
    <t xml:space="preserve">DB010</t>
  </si>
  <si>
    <t xml:space="preserve">Таблица employee + индексы + CHECK на dismissed_at</t>
  </si>
  <si>
    <t xml:space="preserve">DB008,DB009</t>
  </si>
  <si>
    <t xml:space="preserve">Migration 0010</t>
  </si>
  <si>
    <t xml:space="preserve">Попытка вставить dismissed без dismissed_at падает по CHECK</t>
  </si>
  <si>
    <t xml:space="preserve">DB011</t>
  </si>
  <si>
    <t xml:space="preserve">Таблицы service_record_entry (append-only) + secondary_assignment (EXCLUDE)</t>
  </si>
  <si>
    <t xml:space="preserve">Migration 0011</t>
  </si>
  <si>
    <t xml:space="preserve">REVOKE UPDATE/DELETE проверен: UPDATE от app_role падает</t>
  </si>
  <si>
    <t xml:space="preserve">DB012</t>
  </si>
  <si>
    <t xml:space="preserve">Схема service_calendar + calendar_year/calendar_day</t>
  </si>
  <si>
    <t xml:space="preserve">Migration 0012</t>
  </si>
  <si>
    <t xml:space="preserve">Вставка 366 дней для високосного года проходит без ошибок</t>
  </si>
  <si>
    <t xml:space="preserve">DB013</t>
  </si>
  <si>
    <t xml:space="preserve">Схема scheduling + duty_schedule/planned_shift (EXCLUDE)</t>
  </si>
  <si>
    <t xml:space="preserve">Migration 0013</t>
  </si>
  <si>
    <t xml:space="preserve">Вставка двух пересекающихся смен одного сотрудника падает с 23P01</t>
  </si>
  <si>
    <t xml:space="preserve">DB014</t>
  </si>
  <si>
    <t xml:space="preserve">Схема time_accounting + timesheet/overtime_order/service_time_event (EXCLUDE+CHECK)</t>
  </si>
  <si>
    <t xml:space="preserve">Migration 0014</t>
  </si>
  <si>
    <t xml:space="preserve">Вставка overtime_attraction без overtime_order_id падает по CHECK</t>
  </si>
  <si>
    <t xml:space="preserve">DB015</t>
  </si>
  <si>
    <t xml:space="preserve">Таблицы correction_entry + hours_breakdown_projection</t>
  </si>
  <si>
    <t xml:space="preserve">Migration 0015</t>
  </si>
  <si>
    <t xml:space="preserve">Индекс (employee_id, period_start DESC) присутствует и используется в EXPLAIN</t>
  </si>
  <si>
    <t xml:space="preserve">DB016</t>
  </si>
  <si>
    <t xml:space="preserve">Схема compensation + compensation_case/compensation_line</t>
  </si>
  <si>
    <t xml:space="preserve">Migration 0016</t>
  </si>
  <si>
    <t xml:space="preserve">Уникальность (employee_id,period_start,period_end) проверена тестом</t>
  </si>
  <si>
    <t xml:space="preserve">DB017</t>
  </si>
  <si>
    <t xml:space="preserve">Схема rest_balance + balance_movement + materialized view current_balance</t>
  </si>
  <si>
    <t xml:space="preserve">Migration 0017</t>
  </si>
  <si>
    <t xml:space="preserve">REFRESH MATERIALIZED VIEW выполняется без ошибок после тестовых движений</t>
  </si>
  <si>
    <t xml:space="preserve">DB018</t>
  </si>
  <si>
    <t xml:space="preserve">Схема leave_management + leave_grant (EXCLUDE+частичный уникальный индекс)+recall_event</t>
  </si>
  <si>
    <t xml:space="preserve">Migration 0018</t>
  </si>
  <si>
    <t xml:space="preserve">Повторная вставка personal_circumstances_20y для employee_id падает по частичному индексу</t>
  </si>
  <si>
    <t xml:space="preserve">DB019</t>
  </si>
  <si>
    <t xml:space="preserve">Схема audit + audit_log + универсальная триггерная функция аудита</t>
  </si>
  <si>
    <t xml:space="preserve">Migration 0019 + trigger function</t>
  </si>
  <si>
    <t xml:space="preserve">UPDATE тестовой таблицы с навешенным триггером создаёт запись в audit_log</t>
  </si>
  <si>
    <t xml:space="preserve">DB020</t>
  </si>
  <si>
    <t xml:space="preserve">Seed-скрипт: базовый календарный год + образец оргструктуры для dev/test</t>
  </si>
  <si>
    <t xml:space="preserve">DB012,DB011</t>
  </si>
  <si>
    <t xml:space="preserve">scripts/seed_dev_data.py</t>
  </si>
  <si>
    <t xml:space="preserve">Запуск скрипта на чистой БД создаёт год 2026 и 3-уровневую иерархию подразделений</t>
  </si>
  <si>
    <t xml:space="preserve">RE001</t>
  </si>
  <si>
    <t xml:space="preserve">2. Rule Engine</t>
  </si>
  <si>
    <t xml:space="preserve">RuleEngine</t>
  </si>
  <si>
    <t xml:space="preserve">Pydantic-модели Condition (leaf/composite, discriminated union)</t>
  </si>
  <si>
    <t xml:space="preserve">rule_engine/schemas/condition.py</t>
  </si>
  <si>
    <t xml:space="preserve">Валидация примера cond_hazardous_fps из документа Rule Engine проходит</t>
  </si>
  <si>
    <t xml:space="preserve">RE002</t>
  </si>
  <si>
    <t xml:space="preserve">Юнит-тесты валидации Condition</t>
  </si>
  <si>
    <t xml:space="preserve">tests/unit/rule_engine/test_condition.py</t>
  </si>
  <si>
    <t xml:space="preserve">Тест с лишним полем при extra=forbid падает валидацией</t>
  </si>
  <si>
    <t xml:space="preserve">RE003</t>
  </si>
  <si>
    <t xml:space="preserve">Pydantic-модели Formula (literal/variable/operator/function/conditional/rule_reference)</t>
  </si>
  <si>
    <t xml:space="preserve">rule_engine/schemas/formula.py</t>
  </si>
  <si>
    <t xml:space="preserve">Валидация примера f_norm_period из документа Rule Engine проходит</t>
  </si>
  <si>
    <t xml:space="preserve">RE004</t>
  </si>
  <si>
    <t xml:space="preserve">Юнит-тесты валидации Formula (рекурсивная вложенность args)</t>
  </si>
  <si>
    <t xml:space="preserve">tests/unit/rule_engine/test_formula.py</t>
  </si>
  <si>
    <t xml:space="preserve">Тест с 3-уровневой вложенностью operator/operator/function проходит</t>
  </si>
  <si>
    <t xml:space="preserve">RE005</t>
  </si>
  <si>
    <t xml:space="preserve">Pydantic-модели Action</t>
  </si>
  <si>
    <t xml:space="preserve">rule_engine/schemas/action.py</t>
  </si>
  <si>
    <t xml:space="preserve">Валидация примера act_emit_overtime_comp проходит</t>
  </si>
  <si>
    <t xml:space="preserve">RE006</t>
  </si>
  <si>
    <t xml:space="preserve">Function registry: арифметика (+ - * / min max round ceil floor abs)</t>
  </si>
  <si>
    <t xml:space="preserve">rule_engine/function_registry/arithmetic.py</t>
  </si>
  <si>
    <t xml:space="preserve">Юнит-тест на каждую функцию с граничными значениями</t>
  </si>
  <si>
    <t xml:space="preserve">RE007</t>
  </si>
  <si>
    <t xml:space="preserve">Юнит-тесты арифметического реестра</t>
  </si>
  <si>
    <t xml:space="preserve">tests/unit/rule_engine/test_arithmetic.py</t>
  </si>
  <si>
    <t xml:space="preserve">Покрытие 100% функций реестра</t>
  </si>
  <si>
    <t xml:space="preserve">RE008</t>
  </si>
  <si>
    <t xml:space="preserve">Function registry: календарные функции</t>
  </si>
  <si>
    <t xml:space="preserve">rule_engine/function_registry/calendar_functions.py</t>
  </si>
  <si>
    <t xml:space="preserve">working_days_count(январь 2026) возвращает верное число по seed-календарю</t>
  </si>
  <si>
    <t xml:space="preserve">RE009</t>
  </si>
  <si>
    <t xml:space="preserve">Юнит-тесты календарных функций против seed-данных</t>
  </si>
  <si>
    <t xml:space="preserve">RE008,DB020</t>
  </si>
  <si>
    <t xml:space="preserve">tests/unit/rule_engine/test_calendar_functions.py</t>
  </si>
  <si>
    <t xml:space="preserve">Тест сверяет результат с ручным расчётом по производственному календарю</t>
  </si>
  <si>
    <t xml:space="preserve">RE010</t>
  </si>
  <si>
    <t xml:space="preserve">Condition tree walker</t>
  </si>
  <si>
    <t xml:space="preserve">RE001,RE006</t>
  </si>
  <si>
    <t xml:space="preserve">rule_engine/interpreter/tree_walker.py (Condition)</t>
  </si>
  <si>
    <t xml:space="preserve">Вычисление cond_hazardous_fps на тестовом Context даёт ожидаемый bool</t>
  </si>
  <si>
    <t xml:space="preserve">RE011</t>
  </si>
  <si>
    <t xml:space="preserve">Юнит-тесты Condition walker (все операторы сравнения)</t>
  </si>
  <si>
    <t xml:space="preserve">tests/unit/rule_engine/test_condition_walker.py</t>
  </si>
  <si>
    <t xml:space="preserve">Таблично прогнаны все 8 операторов сравнения</t>
  </si>
  <si>
    <t xml:space="preserve">RE012</t>
  </si>
  <si>
    <t xml:space="preserve">Formula tree walker (включая rule_reference)</t>
  </si>
  <si>
    <t xml:space="preserve">RE003,RE006</t>
  </si>
  <si>
    <t xml:space="preserve">rule_engine/interpreter/tree_walker.py (Formula)</t>
  </si>
  <si>
    <t xml:space="preserve">Вычисление f_norm_period на тестовом Context даёт корректное число часов</t>
  </si>
  <si>
    <t xml:space="preserve">RE013</t>
  </si>
  <si>
    <t xml:space="preserve">Юнит-тесты Formula walker (вложенный rule_reference)</t>
  </si>
  <si>
    <t xml:space="preserve">tests/unit/rule_engine/test_formula_walker.py</t>
  </si>
  <si>
    <t xml:space="preserve">Тест f_overtime_hours корректно ссылается на NORM.PERIOD</t>
  </si>
  <si>
    <t xml:space="preserve">RE014</t>
  </si>
  <si>
    <t xml:space="preserve">Version Resolver (поиск применимой RuleVersion по scope+дате)</t>
  </si>
  <si>
    <t xml:space="preserve">DB005,RE012</t>
  </si>
  <si>
    <t xml:space="preserve">rule_engine/interpreter/version_resolver.py</t>
  </si>
  <si>
    <t xml:space="preserve">Резолвер возвращает явную ошибку при отсутствии применимой версии, ровно одну — при наличии</t>
  </si>
  <si>
    <t xml:space="preserve">RE015</t>
  </si>
  <si>
    <t xml:space="preserve">Интеграционные тесты Version Resolver против реальной Postgres</t>
  </si>
  <si>
    <t xml:space="preserve">RE014,DB005</t>
  </si>
  <si>
    <t xml:space="preserve">tests/integration/rule_engine/test_version_resolver.py</t>
  </si>
  <si>
    <t xml:space="preserve">Тест подтверждает согласованность EXCLUDE-ограничения и резолвера</t>
  </si>
  <si>
    <t xml:space="preserve">LR001</t>
  </si>
  <si>
    <t xml:space="preserve">3. LegalRules</t>
  </si>
  <si>
    <t xml:space="preserve">LegalRules</t>
  </si>
  <si>
    <t xml:space="preserve">Domain: dataclass Rule/RuleVersion/NormativeDocument/DocumentNode + инварианты</t>
  </si>
  <si>
    <t xml:space="preserve">modules/legal_rules/domain/*.py</t>
  </si>
  <si>
    <t xml:space="preserve">Попытка создать вторую published-версию с пересекающимся периодом отклоняется доменным методом</t>
  </si>
  <si>
    <t xml:space="preserve">LR002</t>
  </si>
  <si>
    <t xml:space="preserve">Domain: dataclass ConflictResolutionPolicy(+Version)</t>
  </si>
  <si>
    <t xml:space="preserve">modules/legal_rules/domain/conflict_policy.py</t>
  </si>
  <si>
    <t xml:space="preserve">precedence_list без дублей проходит, с дублями — отклоняется</t>
  </si>
  <si>
    <t xml:space="preserve">LR003</t>
  </si>
  <si>
    <t xml:space="preserve">Юнит-тесты инвариантов Rule/RuleVersion (неизменяемость после publish)</t>
  </si>
  <si>
    <t xml:space="preserve">tests/unit/legal_rules/domain</t>
  </si>
  <si>
    <t xml:space="preserve">Попытка изменить formula_definition у published-версии выбрасывает исключение домена</t>
  </si>
  <si>
    <t xml:space="preserve">LR004</t>
  </si>
  <si>
    <t xml:space="preserve">Infra: SQLAlchemy imperative mapping для агрегатов legal_rules</t>
  </si>
  <si>
    <t xml:space="preserve">DB006,LR001</t>
  </si>
  <si>
    <t xml:space="preserve">modules/legal_rules/infrastructure/write/orm_mapping.py</t>
  </si>
  <si>
    <t xml:space="preserve">Domain-класс Rule не импортирует sqlalchemy; маппинг регистрируется без ошибок при старте</t>
  </si>
  <si>
    <t xml:space="preserve">LR005</t>
  </si>
  <si>
    <t xml:space="preserve">Infra: RuleRepository (get/add/list_by_scope_and_date)</t>
  </si>
  <si>
    <t xml:space="preserve">modules/legal_rules/infrastructure/write/rule_repository.py</t>
  </si>
  <si>
    <t xml:space="preserve">Сохранение и повторная загрузка Rule даёт идентичный объект</t>
  </si>
  <si>
    <t xml:space="preserve">LR006</t>
  </si>
  <si>
    <t xml:space="preserve">Application: CreateNormativeDocument command+handler</t>
  </si>
  <si>
    <t xml:space="preserve">modules/legal_rules/application/commands/create_normative_document</t>
  </si>
  <si>
    <t xml:space="preserve">Тест на дубликат reg_number возвращает ошибку</t>
  </si>
  <si>
    <t xml:space="preserve">LR007</t>
  </si>
  <si>
    <t xml:space="preserve">Application: CreateRuleVersion (draft) command+handler</t>
  </si>
  <si>
    <t xml:space="preserve">modules/legal_rules/application/commands/create_rule_version</t>
  </si>
  <si>
    <t xml:space="preserve">Черновик создаётся со status=draft, EXCLUDE не применяется к draft</t>
  </si>
  <si>
    <t xml:space="preserve">LR008</t>
  </si>
  <si>
    <t xml:space="preserve">Application: PublishRuleVersion command+handler</t>
  </si>
  <si>
    <t xml:space="preserve">modules/legal_rules/application/commands/publish_rule_version</t>
  </si>
  <si>
    <t xml:space="preserve">Публикация версии автоматически проставляет valid_to предыдущей версии</t>
  </si>
  <si>
    <t xml:space="preserve">LR009</t>
  </si>
  <si>
    <t xml:space="preserve">Application: DryRunRuleVersion command+handler</t>
  </si>
  <si>
    <t xml:space="preserve">LR008,RE012</t>
  </si>
  <si>
    <t xml:space="preserve">modules/legal_rules/application/commands/dry_run_rule_version</t>
  </si>
  <si>
    <t xml:space="preserve">Результат содержит diff между draft и текущей версией на тестовой выборке</t>
  </si>
  <si>
    <t xml:space="preserve">LR010</t>
  </si>
  <si>
    <t xml:space="preserve">Application: GetEffectiveRuleVersion query+handler</t>
  </si>
  <si>
    <t xml:space="preserve">modules/legal_rules/application/queries/get_effective_rule_version</t>
  </si>
  <si>
    <t xml:space="preserve">Запрос со scope и датой возвращает ровно одну версию или явную ошибку</t>
  </si>
  <si>
    <t xml:space="preserve">LR011</t>
  </si>
  <si>
    <t xml:space="preserve">Infra: Redis-кэш для GetEffectiveRuleVersion + инвалидация по публикации</t>
  </si>
  <si>
    <t xml:space="preserve">modules/legal_rules/infrastructure/cache/rule_cache.py</t>
  </si>
  <si>
    <t xml:space="preserve">После публикации новой версии повторный запрос возвращает новые данные без ручной очистки</t>
  </si>
  <si>
    <t xml:space="preserve">LR012</t>
  </si>
  <si>
    <t xml:space="preserve">API: роутеры+схемы /legal-rules/documents,/rules,/rule-versions</t>
  </si>
  <si>
    <t xml:space="preserve">LR006,LR007,LR008,LR010</t>
  </si>
  <si>
    <t xml:space="preserve">modules/legal_rules/api/router.py</t>
  </si>
  <si>
    <t xml:space="preserve">Эндпоинты отвечают согласно openapi.yaml</t>
  </si>
  <si>
    <t xml:space="preserve">LR013</t>
  </si>
  <si>
    <t xml:space="preserve">Интеграционный тест: draft-&gt;dry-run-&gt;publish-&gt;supersede</t>
  </si>
  <si>
    <t xml:space="preserve">LR008,LR009</t>
  </si>
  <si>
    <t xml:space="preserve">tests/integration/legal_rules/test_publish_flow.py</t>
  </si>
  <si>
    <t xml:space="preserve">Тест проходит end-to-end через HTTP-слой</t>
  </si>
  <si>
    <t xml:space="preserve">LR014</t>
  </si>
  <si>
    <t xml:space="preserve">Контрактный тест LegalRules против openapi.yaml</t>
  </si>
  <si>
    <t xml:space="preserve">tests/contract/test_legal_rules_contract.py</t>
  </si>
  <si>
    <t xml:space="preserve">Schemathesis не находит расхождений</t>
  </si>
  <si>
    <t xml:space="preserve">LR015</t>
  </si>
  <si>
    <t xml:space="preserve">Contracts: экспорт get_effective_version Protocol+DTO</t>
  </si>
  <si>
    <t xml:space="preserve">modules/legal_rules/contracts/get_effective_rule_version.py</t>
  </si>
  <si>
    <t xml:space="preserve">Другой модуль может вызвать контракт без импорта domain/infrastructure legal_rules</t>
  </si>
  <si>
    <t xml:space="preserve">PE001</t>
  </si>
  <si>
    <t xml:space="preserve">4. Personnel</t>
  </si>
  <si>
    <t xml:space="preserve">Personnel</t>
  </si>
  <si>
    <t xml:space="preserve">Domain: dataclass Unit/Position/Employee + инварианты</t>
  </si>
  <si>
    <t xml:space="preserve">modules/personnel/domain/*.py</t>
  </si>
  <si>
    <t xml:space="preserve">Попытка назначить сотруднику вторую активную основную должность отклоняется</t>
  </si>
  <si>
    <t xml:space="preserve">PE002</t>
  </si>
  <si>
    <t xml:space="preserve">Domain: ServiceRecordEntry/SecondaryAssignment entities</t>
  </si>
  <si>
    <t xml:space="preserve">modules/personnel/domain/service_record.py</t>
  </si>
  <si>
    <t xml:space="preserve">SecondaryAssignment, пересекающийся с больничным, отклоняется</t>
  </si>
  <si>
    <t xml:space="preserve">PE003</t>
  </si>
  <si>
    <t xml:space="preserve">Юнит-тесты конечного автомата EmploymentStatus</t>
  </si>
  <si>
    <t xml:space="preserve">tests/unit/personnel/test_employee_status.py</t>
  </si>
  <si>
    <t xml:space="preserve">Прямой переход dismissed-&gt;active выбрасывает исключение домена</t>
  </si>
  <si>
    <t xml:space="preserve">PE004</t>
  </si>
  <si>
    <t xml:space="preserve">Infra: SQLAlchemy imperative mapping (ltree Unit, Position, Employee)</t>
  </si>
  <si>
    <t xml:space="preserve">DB011,PE001</t>
  </si>
  <si>
    <t xml:space="preserve">modules/personnel/infrastructure/orm_mapping.py</t>
  </si>
  <si>
    <t xml:space="preserve">Сохранение Unit с hierarchy_path корректно читается обратно</t>
  </si>
  <si>
    <t xml:space="preserve">PE005</t>
  </si>
  <si>
    <t xml:space="preserve">Infra: UnitRepository/EmployeeRepository/PositionRepository</t>
  </si>
  <si>
    <t xml:space="preserve">modules/personnel/infrastructure/repositories.py</t>
  </si>
  <si>
    <t xml:space="preserve">Интеграционный тест round-trip для каждого репозитория</t>
  </si>
  <si>
    <t xml:space="preserve">PE006</t>
  </si>
  <si>
    <t xml:space="preserve">Application: CreateUnit/CreatePosition commands+handlers</t>
  </si>
  <si>
    <t xml:space="preserve">modules/personnel/application/commands/create_unit,create_position</t>
  </si>
  <si>
    <t xml:space="preserve">Дубликат code подразделения/должности возвращает ошибку</t>
  </si>
  <si>
    <t xml:space="preserve">PE007</t>
  </si>
  <si>
    <t xml:space="preserve">Application: RegisterEmployee command+handler</t>
  </si>
  <si>
    <t xml:space="preserve">modules/personnel/application/commands/register_employee</t>
  </si>
  <si>
    <t xml:space="preserve">Дубликат personnel_number отклоняется; успешная регистрация возвращает id</t>
  </si>
  <si>
    <t xml:space="preserve">PE008</t>
  </si>
  <si>
    <t xml:space="preserve">Application: ChangeEmploymentStatus command+handler</t>
  </si>
  <si>
    <t xml:space="preserve">modules/personnel/application/commands/change_employment_status</t>
  </si>
  <si>
    <t xml:space="preserve">Недопустимый переход статуса возвращает ошибку домена</t>
  </si>
  <si>
    <t xml:space="preserve">PE009</t>
  </si>
  <si>
    <t xml:space="preserve">Application: AddServiceRecordEntry command+handler</t>
  </si>
  <si>
    <t xml:space="preserve">modules/personnel/application/commands/add_service_record_entry</t>
  </si>
  <si>
    <t xml:space="preserve">Запись добавляется, редактирование существующей невозможно через API</t>
  </si>
  <si>
    <t xml:space="preserve">PE010</t>
  </si>
  <si>
    <t xml:space="preserve">Application: GetEmployee/ListEmployees queries+handlers</t>
  </si>
  <si>
    <t xml:space="preserve">modules/personnel/application/queries/*</t>
  </si>
  <si>
    <t xml:space="preserve">Список поддерживает пагинацию и фильтр по unitId согласно openapi.yaml</t>
  </si>
  <si>
    <t xml:space="preserve">PE011</t>
  </si>
  <si>
    <t xml:space="preserve">API: роутеры+схемы /personnel/units,/positions,/employees</t>
  </si>
  <si>
    <t xml:space="preserve">PE006,PE007,PE008,PE010</t>
  </si>
  <si>
    <t xml:space="preserve">modules/personnel/api/router.py</t>
  </si>
  <si>
    <t xml:space="preserve">Все эндпоинты Personnel реализованы согласно openapi.yaml</t>
  </si>
  <si>
    <t xml:space="preserve">PE012</t>
  </si>
  <si>
    <t xml:space="preserve">Contracts: get_employee_snapshot Protocol+DTO</t>
  </si>
  <si>
    <t xml:space="preserve">modules/personnel/contracts/get_employee_snapshot.py</t>
  </si>
  <si>
    <t xml:space="preserve">Другие модули получают снимок сотрудника без импорта personnel.domain</t>
  </si>
  <si>
    <t xml:space="preserve">PE013</t>
  </si>
  <si>
    <t xml:space="preserve">Интеграционные тесты жизненного цикла сотрудника</t>
  </si>
  <si>
    <t xml:space="preserve">PE008,PE009</t>
  </si>
  <si>
    <t xml:space="preserve">tests/integration/personnel/test_employee_lifecycle.py</t>
  </si>
  <si>
    <t xml:space="preserve">Тест проходит через HTTP-слой, история service_record_entry корректна</t>
  </si>
  <si>
    <t xml:space="preserve">PE014</t>
  </si>
  <si>
    <t xml:space="preserve">Контрактный тест Personnel против openapi.yaml</t>
  </si>
  <si>
    <t xml:space="preserve">tests/contract/test_personnel_contract.py</t>
  </si>
  <si>
    <t xml:space="preserve">PE015</t>
  </si>
  <si>
    <t xml:space="preserve">Seed-скрипт: образец оргструктуры и сотрудников</t>
  </si>
  <si>
    <t xml:space="preserve">scripts/seed_personnel_dev.py</t>
  </si>
  <si>
    <t xml:space="preserve">Скрипт создаёт 3 подразделения и 20 сотрудников с разными статусами</t>
  </si>
  <si>
    <t xml:space="preserve">SC001</t>
  </si>
  <si>
    <t xml:space="preserve">5. ServiceCalendar</t>
  </si>
  <si>
    <t xml:space="preserve">ServiceCalendar</t>
  </si>
  <si>
    <t xml:space="preserve">Domain: dataclass CalendarYear/CalendarDay + инварианты</t>
  </si>
  <si>
    <t xml:space="preserve">modules/service_calendar/domain/*.py</t>
  </si>
  <si>
    <t xml:space="preserve">Попытка задать день за пределами года отклоняется</t>
  </si>
  <si>
    <t xml:space="preserve">SC002</t>
  </si>
  <si>
    <t xml:space="preserve">Infra: SQLAlchemy mapping + CalendarRepository</t>
  </si>
  <si>
    <t xml:space="preserve">DB012,SC001</t>
  </si>
  <si>
    <t xml:space="preserve">modules/service_calendar/infrastructure/*.py</t>
  </si>
  <si>
    <t xml:space="preserve">Round-trip сохранения/чтения года из 366 дней</t>
  </si>
  <si>
    <t xml:space="preserve">SC003</t>
  </si>
  <si>
    <t xml:space="preserve">Application: CreateCalendarYear/SetCalendarDays commands+handlers</t>
  </si>
  <si>
    <t xml:space="preserve">modules/service_calendar/application/commands/*</t>
  </si>
  <si>
    <t xml:space="preserve">Массовая установка 366 дней проходит одной транзакцией</t>
  </si>
  <si>
    <t xml:space="preserve">SC004</t>
  </si>
  <si>
    <t xml:space="preserve">Application: PublishCalendarYear command+handler</t>
  </si>
  <si>
    <t xml:space="preserve">modules/service_calendar/application/commands/publish_calendar_year</t>
  </si>
  <si>
    <t xml:space="preserve">Изменение дня после публикации отклоняется</t>
  </si>
  <si>
    <t xml:space="preserve">SC005</t>
  </si>
  <si>
    <t xml:space="preserve">Application: GetCalendarYear query+handler</t>
  </si>
  <si>
    <t xml:space="preserve">modules/service_calendar/application/queries/get_calendar_year</t>
  </si>
  <si>
    <t xml:space="preserve">Запрос возвращает полный список дней с типами</t>
  </si>
  <si>
    <t xml:space="preserve">SC006</t>
  </si>
  <si>
    <t xml:space="preserve">API: роутеры+схемы /service-calendar</t>
  </si>
  <si>
    <t xml:space="preserve">SC003,SC004,SC005</t>
  </si>
  <si>
    <t xml:space="preserve">modules/service_calendar/api/router.py</t>
  </si>
  <si>
    <t xml:space="preserve">Эндпоинты соответствуют openapi.yaml</t>
  </si>
  <si>
    <t xml:space="preserve">SC007</t>
  </si>
  <si>
    <t xml:space="preserve">Интеграционный тест: публикация делает год неизменяемым</t>
  </si>
  <si>
    <t xml:space="preserve">tests/integration/service_calendar/test_publish.py</t>
  </si>
  <si>
    <t xml:space="preserve">Тест подтверждает отказ при попытке правки после publish</t>
  </si>
  <si>
    <t xml:space="preserve">SC008</t>
  </si>
  <si>
    <t xml:space="preserve">Seed-скрипт: полный производственный календарь на 2026 год</t>
  </si>
  <si>
    <t xml:space="preserve">scripts/seed_calendar_2026.py</t>
  </si>
  <si>
    <t xml:space="preserve">Типы дней расставлены по официальному производственному календарю РФ</t>
  </si>
  <si>
    <t xml:space="preserve">SD001</t>
  </si>
  <si>
    <t xml:space="preserve">6. Scheduling</t>
  </si>
  <si>
    <t xml:space="preserve">Scheduling</t>
  </si>
  <si>
    <t xml:space="preserve">Domain: dataclass DutySchedule/PlannedShift + инвариант непересечения смен</t>
  </si>
  <si>
    <t xml:space="preserve">modules/scheduling/domain/*.py</t>
  </si>
  <si>
    <t xml:space="preserve">Добавление второй пересекающейся смены сотруднику отклоняется доменным методом</t>
  </si>
  <si>
    <t xml:space="preserve">SD002</t>
  </si>
  <si>
    <t xml:space="preserve">Юнит-тесты инварианта непересечения смен (на стыке графиков)</t>
  </si>
  <si>
    <t xml:space="preserve">tests/unit/scheduling/test_planned_shift.py</t>
  </si>
  <si>
    <t xml:space="preserve">Тест на пересечение через границу двух DutySchedule проходит</t>
  </si>
  <si>
    <t xml:space="preserve">SD003</t>
  </si>
  <si>
    <t xml:space="preserve">Infra: SQLAlchemy mapping (EXCLUDE-aware) + DutyScheduleRepository</t>
  </si>
  <si>
    <t xml:space="preserve">DB013,SD001</t>
  </si>
  <si>
    <t xml:space="preserve">modules/scheduling/infrastructure/*.py</t>
  </si>
  <si>
    <t xml:space="preserve">Вставка пересекающейся смены транслируется в доменную ошибку</t>
  </si>
  <si>
    <t xml:space="preserve">SD004</t>
  </si>
  <si>
    <t xml:space="preserve">Application: DraftSchedule command+handler</t>
  </si>
  <si>
    <t xml:space="preserve">modules/scheduling/application/commands/draft_schedule</t>
  </si>
  <si>
    <t xml:space="preserve">Создание графика в статусе draft для подразделения+периода</t>
  </si>
  <si>
    <t xml:space="preserve">SD005</t>
  </si>
  <si>
    <t xml:space="preserve">Application: AddPlannedShift command+handler</t>
  </si>
  <si>
    <t xml:space="preserve">modules/scheduling/application/commands/add_planned_shift</t>
  </si>
  <si>
    <t xml:space="preserve">Пересечение возвращает 409; корректная смена сохраняется</t>
  </si>
  <si>
    <t xml:space="preserve">SD006</t>
  </si>
  <si>
    <t xml:space="preserve">Domain service: RestPeriodPolicyService</t>
  </si>
  <si>
    <t xml:space="preserve">SD001,RE014</t>
  </si>
  <si>
    <t xml:space="preserve">modules/scheduling/application/services/rest_period_policy.py</t>
  </si>
  <si>
    <t xml:space="preserve">Использует RuleVersion категории minimum_rest_period через Rule Engine</t>
  </si>
  <si>
    <t xml:space="preserve">SD007</t>
  </si>
  <si>
    <t xml:space="preserve">Юнит-тесты RestPeriodPolicyService (стык периодов)</t>
  </si>
  <si>
    <t xml:space="preserve">tests/unit/scheduling/test_rest_period_policy.py</t>
  </si>
  <si>
    <t xml:space="preserve">Смена раньше минимального отдыха после предыдущей отклоняется</t>
  </si>
  <si>
    <t xml:space="preserve">SD008</t>
  </si>
  <si>
    <t xml:space="preserve">Application: ApproveSchedule command+handler</t>
  </si>
  <si>
    <t xml:space="preserve">modules/scheduling/application/commands/approve_schedule</t>
  </si>
  <si>
    <t xml:space="preserve">Утверждённый график становится неизменяемым</t>
  </si>
  <si>
    <t xml:space="preserve">SD009</t>
  </si>
  <si>
    <t xml:space="preserve">Application: ReviseSchedule command+handler</t>
  </si>
  <si>
    <t xml:space="preserve">modules/scheduling/application/commands/revise_schedule</t>
  </si>
  <si>
    <t xml:space="preserve">Пересмотр создаёт новую сущность со ссылкой на предыдущую</t>
  </si>
  <si>
    <t xml:space="preserve">SD010</t>
  </si>
  <si>
    <t xml:space="preserve">Application: GetScheduleForUnit query+handler</t>
  </si>
  <si>
    <t xml:space="preserve">modules/scheduling/application/queries/get_schedule_for_unit</t>
  </si>
  <si>
    <t xml:space="preserve">Запрос по unitId+период возвращает список графиков</t>
  </si>
  <si>
    <t xml:space="preserve">SD011</t>
  </si>
  <si>
    <t xml:space="preserve">API: роутеры+схемы /scheduling</t>
  </si>
  <si>
    <t xml:space="preserve">SD004,SD005,SD008,SD009,SD010</t>
  </si>
  <si>
    <t xml:space="preserve">modules/scheduling/api/router.py</t>
  </si>
  <si>
    <t xml:space="preserve">SD012</t>
  </si>
  <si>
    <t xml:space="preserve">Интеграционный тест: пересечение смен отклоняется с 409</t>
  </si>
  <si>
    <t xml:space="preserve">tests/integration/scheduling/test_overlap.py</t>
  </si>
  <si>
    <t xml:space="preserve">Тест через HTTP подтверждает 409 и Problem-тело</t>
  </si>
  <si>
    <t xml:space="preserve">SD013</t>
  </si>
  <si>
    <t xml:space="preserve">Интеграционный тест: draft-&gt;approve-&gt;revise</t>
  </si>
  <si>
    <t xml:space="preserve">SD008,SD009</t>
  </si>
  <si>
    <t xml:space="preserve">tests/integration/scheduling/test_approval_flow.py</t>
  </si>
  <si>
    <t xml:space="preserve">Полный цикл проходит, история версий сохранена</t>
  </si>
  <si>
    <t xml:space="preserve">SD014</t>
  </si>
  <si>
    <t xml:space="preserve">Контрактный тест Scheduling против openapi.yaml</t>
  </si>
  <si>
    <t xml:space="preserve">tests/contract/test_scheduling_contract.py</t>
  </si>
  <si>
    <t xml:space="preserve">SD015</t>
  </si>
  <si>
    <t xml:space="preserve">Contracts: get_planned_shifts_for_employee Protocol</t>
  </si>
  <si>
    <t xml:space="preserve">modules/scheduling/contracts/get_planned_shifts.py</t>
  </si>
  <si>
    <t xml:space="preserve">TimeAccounting ссылается на плановую смену без импорта scheduling.domain</t>
  </si>
  <si>
    <t xml:space="preserve">TA001</t>
  </si>
  <si>
    <t xml:space="preserve">7. TimeAccounting</t>
  </si>
  <si>
    <t xml:space="preserve">TimeAccounting</t>
  </si>
  <si>
    <t xml:space="preserve">Domain: Timesheet aggregate + ServiceTimeEvent entity + HoursBreakdown VO</t>
  </si>
  <si>
    <t xml:space="preserve">modules/time_accounting/domain/*.py</t>
  </si>
  <si>
    <t xml:space="preserve">Два непересекающихся события создаются успешно, третье пересекающееся отклоняется</t>
  </si>
  <si>
    <t xml:space="preserve">TA002</t>
  </si>
  <si>
    <t xml:space="preserve">Юнит-тесты: непересечение событий + лимит 24ч/сутки</t>
  </si>
  <si>
    <t xml:space="preserve">tests/unit/time_accounting/test_timesheet_invariants.py</t>
  </si>
  <si>
    <t xml:space="preserve">Сумма actual_shift за сутки &gt;24ч отклоняется доменным методом</t>
  </si>
  <si>
    <t xml:space="preserve">TA003</t>
  </si>
  <si>
    <t xml:space="preserve">Юнит-тесты: overtime_attraction требует overtime_order_id</t>
  </si>
  <si>
    <t xml:space="preserve">tests/unit/time_accounting/test_overtime_invariant.py</t>
  </si>
  <si>
    <t xml:space="preserve">Событие overtime_attraction без ссылки на приказ отклоняется</t>
  </si>
  <si>
    <t xml:space="preserve">TA004</t>
  </si>
  <si>
    <t xml:space="preserve">Domain events: ShiftActuallyPerformed/SicknessRegistered/OvertimeAttracted/TimesheetApproved/TimesheetReopened</t>
  </si>
  <si>
    <t xml:space="preserve">modules/time_accounting/domain/events.py</t>
  </si>
  <si>
    <t xml:space="preserve">Каждое доменное действие добавляет соответствующее событие в буфер</t>
  </si>
  <si>
    <t xml:space="preserve">TA005</t>
  </si>
  <si>
    <t xml:space="preserve">Infra: SQLAlchemy imperative mapping Timesheet (write side)</t>
  </si>
  <si>
    <t xml:space="preserve">DB015,TA001</t>
  </si>
  <si>
    <t xml:space="preserve">modules/time_accounting/infrastructure/write/orm_mapping.py</t>
  </si>
  <si>
    <t xml:space="preserve">Domain-класс Timesheet не импортирует sqlalchemy</t>
  </si>
  <si>
    <t xml:space="preserve">TA006</t>
  </si>
  <si>
    <t xml:space="preserve">Infra: TimesheetRepository + outbox_writer (транзакционная запись)</t>
  </si>
  <si>
    <t xml:space="preserve">modules/time_accounting/infrastructure/write/*.py</t>
  </si>
  <si>
    <t xml:space="preserve">Сохранение агрегата и запись в outbox_message происходят в одной транзакции</t>
  </si>
  <si>
    <t xml:space="preserve">TA007</t>
  </si>
  <si>
    <t xml:space="preserve">Application: OpenTimesheet command+handler</t>
  </si>
  <si>
    <t xml:space="preserve">modules/time_accounting/application/commands/open_timesheet</t>
  </si>
  <si>
    <t xml:space="preserve">Повторное открытие того же (employeeId,period) возвращает 409</t>
  </si>
  <si>
    <t xml:space="preserve">TA008</t>
  </si>
  <si>
    <t xml:space="preserve">Application: RegisterActualShift command+handler</t>
  </si>
  <si>
    <t xml:space="preserve">TA006,TA002</t>
  </si>
  <si>
    <t xml:space="preserve">modules/time_accounting/application/commands/register_actual_shift</t>
  </si>
  <si>
    <t xml:space="preserve">Пересекающаяся смена возвращает 409</t>
  </si>
  <si>
    <t xml:space="preserve">TA009</t>
  </si>
  <si>
    <t xml:space="preserve">Application: RegisterSickness command+handler</t>
  </si>
  <si>
    <t xml:space="preserve">modules/time_accounting/application/commands/register_sickness</t>
  </si>
  <si>
    <t xml:space="preserve">Событие сохраняется, влияет на расчёт недоработки</t>
  </si>
  <si>
    <t xml:space="preserve">TA010</t>
  </si>
  <si>
    <t xml:space="preserve">Application: RegisterSuspension command+handler</t>
  </si>
  <si>
    <t xml:space="preserve">modules/time_accounting/application/commands/register_suspension</t>
  </si>
  <si>
    <t xml:space="preserve">Событие сохраняется корректно</t>
  </si>
  <si>
    <t xml:space="preserve">TA011</t>
  </si>
  <si>
    <t xml:space="preserve">Application: AttractOvertime command+handler</t>
  </si>
  <si>
    <t xml:space="preserve">TA006,TA003</t>
  </si>
  <si>
    <t xml:space="preserve">modules/time_accounting/application/commands/attract_overtime</t>
  </si>
  <si>
    <t xml:space="preserve">Отсутствие overtime_order_id возвращает 422</t>
  </si>
  <si>
    <t xml:space="preserve">TA012</t>
  </si>
  <si>
    <t xml:space="preserve">Application: RegisterBusinessTrip command+handler</t>
  </si>
  <si>
    <t xml:space="preserve">modules/time_accounting/application/commands/register_business_trip</t>
  </si>
  <si>
    <t xml:space="preserve">Событие требует businessTripPlace</t>
  </si>
  <si>
    <t xml:space="preserve">TA013</t>
  </si>
  <si>
    <t xml:space="preserve">Application: CreateOvertimeOrder command+handler</t>
  </si>
  <si>
    <t xml:space="preserve">modules/time_accounting/application/commands/create_overtime_order</t>
  </si>
  <si>
    <t xml:space="preserve">Дубликат order_number отклоняется</t>
  </si>
  <si>
    <t xml:space="preserve">TA014</t>
  </si>
  <si>
    <t xml:space="preserve">Application: CreateCorrectionEntry command+handler</t>
  </si>
  <si>
    <t xml:space="preserve">modules/time_accounting/application/commands/create_correction_entry</t>
  </si>
  <si>
    <t xml:space="preserve">Исходная запись не изменяется, создаётся новая correction_entry</t>
  </si>
  <si>
    <t xml:space="preserve">TA015</t>
  </si>
  <si>
    <t xml:space="preserve">Application: ApproveTimesheet command+handler</t>
  </si>
  <si>
    <t xml:space="preserve">TA008,TA009,TA010,TA011</t>
  </si>
  <si>
    <t xml:space="preserve">modules/time_accounting/application/commands/approve_timesheet</t>
  </si>
  <si>
    <t xml:space="preserve">После утверждения Timesheet неизменяем</t>
  </si>
  <si>
    <t xml:space="preserve">TA016</t>
  </si>
  <si>
    <t xml:space="preserve">Application: ReopenTimesheet command+handler</t>
  </si>
  <si>
    <t xml:space="preserve">modules/time_accounting/application/commands/reopen_timesheet</t>
  </si>
  <si>
    <t xml:space="preserve">Переоткрытие требует обязательной причины</t>
  </si>
  <si>
    <t xml:space="preserve">TA017</t>
  </si>
  <si>
    <t xml:space="preserve">Calc Engine: Алгоритм Б - расчёт нормы периода</t>
  </si>
  <si>
    <t xml:space="preserve">RE014,SC005</t>
  </si>
  <si>
    <t xml:space="preserve">modules/time_accounting/application/services/norm_calculation.py</t>
  </si>
  <si>
    <t xml:space="preserve">Норма за неполный месяц пропорционально уменьшена</t>
  </si>
  <si>
    <t xml:space="preserve">TA018</t>
  </si>
  <si>
    <t xml:space="preserve">Юнит-тесты Алгоритма Б</t>
  </si>
  <si>
    <t xml:space="preserve">tests/unit/time_accounting/test_norm_calculation.py</t>
  </si>
  <si>
    <t xml:space="preserve">Сравнение с ручным расчётом по производственному календарю</t>
  </si>
  <si>
    <t xml:space="preserve">TA019</t>
  </si>
  <si>
    <t xml:space="preserve">Calc Engine: Алгоритм В - сбор и нормализация фактов</t>
  </si>
  <si>
    <t xml:space="preserve">modules/time_accounting/application/services/fact_collector.py</t>
  </si>
  <si>
    <t xml:space="preserve">actual_minutes_total и explained_absence_minutes корректны на тестовом наборе</t>
  </si>
  <si>
    <t xml:space="preserve">TA020</t>
  </si>
  <si>
    <t xml:space="preserve">Calc Engine: Алгоритмы Г/Д/Е - классификация ночных/праздничных/выходных</t>
  </si>
  <si>
    <t xml:space="preserve">TA019,SC005</t>
  </si>
  <si>
    <t xml:space="preserve">modules/time_accounting/application/services/hours_classifier.py</t>
  </si>
  <si>
    <t xml:space="preserve">Ночная смена, пересекающая полночь, разбита корректно</t>
  </si>
  <si>
    <t xml:space="preserve">TA021</t>
  </si>
  <si>
    <t xml:space="preserve">Юнит-тесты классификации ночных/праздничных/выходных часов</t>
  </si>
  <si>
    <t xml:space="preserve">tests/unit/time_accounting/test_hours_classifier.py</t>
  </si>
  <si>
    <t xml:space="preserve">Суточное дежурство в предпраздничный день классифицировано верно</t>
  </si>
  <si>
    <t xml:space="preserve">TA022</t>
  </si>
  <si>
    <t xml:space="preserve">Calc Engine: Алгоритм Ж - разрешение конфликта категорий</t>
  </si>
  <si>
    <t xml:space="preserve">TA020,LR002</t>
  </si>
  <si>
    <t xml:space="preserve">modules/time_accounting/application/services/conflict_resolver.py</t>
  </si>
  <si>
    <t xml:space="preserve">Час, одновременно ночной и праздничный, отнесён ровно к одной категории</t>
  </si>
  <si>
    <t xml:space="preserve">TA023</t>
  </si>
  <si>
    <t xml:space="preserve">Юнит-тесты Алгоритма Ж</t>
  </si>
  <si>
    <t xml:space="preserve">tests/unit/time_accounting/test_conflict_resolver.py</t>
  </si>
  <si>
    <t xml:space="preserve">Задвоение компенсации по одному часу невозможно</t>
  </si>
  <si>
    <t xml:space="preserve">TA024</t>
  </si>
  <si>
    <t xml:space="preserve">Calc Engine: Алгоритм З - переработка/недоработка</t>
  </si>
  <si>
    <t xml:space="preserve">TA017,TA019</t>
  </si>
  <si>
    <t xml:space="preserve">modules/time_accounting/application/services/overtime_calculator.py</t>
  </si>
  <si>
    <t xml:space="preserve">Недоработка, покрытая больничным, помечена как explained</t>
  </si>
  <si>
    <t xml:space="preserve">TA025</t>
  </si>
  <si>
    <t xml:space="preserve">Юнит-тесты Алгоритма З</t>
  </si>
  <si>
    <t xml:space="preserve">tests/unit/time_accounting/test_overtime_calculator.py</t>
  </si>
  <si>
    <t xml:space="preserve">Частично объяснённая недоработка разделена на explained/unexplained</t>
  </si>
  <si>
    <t xml:space="preserve">TA026</t>
  </si>
  <si>
    <t xml:space="preserve">Сборка полного пайплайна HoursBreakdown внутри ApproveTimesheet</t>
  </si>
  <si>
    <t xml:space="preserve">TA015,TA017,TA020,TA022,TA024</t>
  </si>
  <si>
    <t xml:space="preserve">modules/time_accounting/application/commands/approve_timesheet (обновлён)</t>
  </si>
  <si>
    <t xml:space="preserve">Утверждение детерминированно даёт одинаковый HoursBreakdown при повторе</t>
  </si>
  <si>
    <t xml:space="preserve">TA027</t>
  </si>
  <si>
    <t xml:space="preserve">Infra/read: hours_breakdown_projection + Celery-задача построения проекции</t>
  </si>
  <si>
    <t xml:space="preserve">DB015,TA026</t>
  </si>
  <si>
    <t xml:space="preserve">modules/time_accounting/infrastructure/read/projection_builder.py</t>
  </si>
  <si>
    <t xml:space="preserve">Проекция обновляется асинхронно в течение секунд после ApproveTimesheet</t>
  </si>
  <si>
    <t xml:space="preserve">TA028</t>
  </si>
  <si>
    <t xml:space="preserve">Infra/read: Redis-кэш для GetMyTimesheetSummary</t>
  </si>
  <si>
    <t xml:space="preserve">modules/time_accounting/infrastructure/read/redis_cache.py</t>
  </si>
  <si>
    <t xml:space="preserve">Повторный запрос сводки не создаёт нового обращения к БД</t>
  </si>
  <si>
    <t xml:space="preserve">TA029</t>
  </si>
  <si>
    <t xml:space="preserve">Application (Query): GetMyTimesheetSummary handler</t>
  </si>
  <si>
    <t xml:space="preserve">modules/time_accounting/application/queries/get_my_timesheet_summary</t>
  </si>
  <si>
    <t xml:space="preserve">Сотрудник получает только свою сводку</t>
  </si>
  <si>
    <t xml:space="preserve">TA030</t>
  </si>
  <si>
    <t xml:space="preserve">Application (Query): GetHoursBreakdownHistory handler</t>
  </si>
  <si>
    <t xml:space="preserve">modules/time_accounting/application/queries/get_hours_breakdown_history</t>
  </si>
  <si>
    <t xml:space="preserve">Пагинированный список сводок по сотруднику</t>
  </si>
  <si>
    <t xml:space="preserve">TA031</t>
  </si>
  <si>
    <t xml:space="preserve">Application (Query): GetUnitTimesheetDashboard handler</t>
  </si>
  <si>
    <t xml:space="preserve">modules/time_accounting/application/queries/get_unit_timesheet_dashboard</t>
  </si>
  <si>
    <t xml:space="preserve">Агрегаты совпадают с суммой по сотрудникам подразделения</t>
  </si>
  <si>
    <t xml:space="preserve">TA032</t>
  </si>
  <si>
    <t xml:space="preserve">API: роутеры+схемы для командной стороны TimeAccounting</t>
  </si>
  <si>
    <t xml:space="preserve">TA007,TA008,TA009,TA010,TA011,TA012,TA013,TA014,TA015,TA016</t>
  </si>
  <si>
    <t xml:space="preserve">modules/time_accounting/api/router_commands.py</t>
  </si>
  <si>
    <t xml:space="preserve">Эндпоинты команд соответствуют openapi.yaml, включая discriminator по eventType</t>
  </si>
  <si>
    <t xml:space="preserve">TA033</t>
  </si>
  <si>
    <t xml:space="preserve">API: роутеры+схемы для query-стороны TimeAccounting</t>
  </si>
  <si>
    <t xml:space="preserve">TA029,TA030,TA031</t>
  </si>
  <si>
    <t xml:space="preserve">modules/time_accounting/api/router_queries.py</t>
  </si>
  <si>
    <t xml:space="preserve">Эндпоинты запросов соответствуют openapi.yaml</t>
  </si>
  <si>
    <t xml:space="preserve">TA034</t>
  </si>
  <si>
    <t xml:space="preserve">Интеграционный тест: полный цикл запись-&gt;утверждение-&gt;проекция-&gt;чтение</t>
  </si>
  <si>
    <t xml:space="preserve">TA026,TA027,TA029</t>
  </si>
  <si>
    <t xml:space="preserve">tests/integration/time_accounting/test_full_cycle.py</t>
  </si>
  <si>
    <t xml:space="preserve">Тест через HTTP от регистрации смены до чтения сводки проходит</t>
  </si>
  <si>
    <t xml:space="preserve">TA035</t>
  </si>
  <si>
    <t xml:space="preserve">Контрактный тест TimeAccounting против openapi.yaml</t>
  </si>
  <si>
    <t xml:space="preserve">TA032,TA033</t>
  </si>
  <si>
    <t xml:space="preserve">tests/contract/test_time_accounting_contract.py</t>
  </si>
  <si>
    <t xml:space="preserve">Schemathesis не находит расхождений, включая discriminated union</t>
  </si>
  <si>
    <t xml:space="preserve">CO001</t>
  </si>
  <si>
    <t xml:space="preserve">8. Compensation</t>
  </si>
  <si>
    <t xml:space="preserve">Compensation</t>
  </si>
  <si>
    <t xml:space="preserve">Domain: dataclass CompensationCase/CompensationLine + инварианты</t>
  </si>
  <si>
    <t xml:space="preserve">modules/compensation/domain/*.py</t>
  </si>
  <si>
    <t xml:space="preserve">Сумма hoursAmount по категории, превышающая HoursBreakdown, отклоняется</t>
  </si>
  <si>
    <t xml:space="preserve">CO002</t>
  </si>
  <si>
    <t xml:space="preserve">Юнит-тесты инварианта 'часы компенсации &lt;= HoursBreakdown'</t>
  </si>
  <si>
    <t xml:space="preserve">tests/unit/compensation/test_case_invariants.py</t>
  </si>
  <si>
    <t xml:space="preserve">Явный тест на превышение суммы по категории overtime</t>
  </si>
  <si>
    <t xml:space="preserve">CO003</t>
  </si>
  <si>
    <t xml:space="preserve">Infra: SQLAlchemy mapping + CompensationCaseRepository</t>
  </si>
  <si>
    <t xml:space="preserve">DB016,CO001</t>
  </si>
  <si>
    <t xml:space="preserve">modules/compensation/infrastructure/*.py</t>
  </si>
  <si>
    <t xml:space="preserve">Round-trip сохранения дела с несколькими строками</t>
  </si>
  <si>
    <t xml:space="preserve">CO004</t>
  </si>
  <si>
    <t xml:space="preserve">Contracts consumer: вызов IGetTimesheetStatus из TimeAccounting.contracts</t>
  </si>
  <si>
    <t xml:space="preserve">TA033,LR015</t>
  </si>
  <si>
    <t xml:space="preserve">modules/compensation/infrastructure/anticorruption/timesheet_status_client.py</t>
  </si>
  <si>
    <t xml:space="preserve">Compensation не импортирует ничего из time_accounting.domain/infrastructure</t>
  </si>
  <si>
    <t xml:space="preserve">CO005</t>
  </si>
  <si>
    <t xml:space="preserve">Application: CreateCompensationCase command+handler</t>
  </si>
  <si>
    <t xml:space="preserve">CO003,CO004</t>
  </si>
  <si>
    <t xml:space="preserve">modules/compensation/application/commands/create_compensation_case</t>
  </si>
  <si>
    <t xml:space="preserve">Создание дела при неутверждённом табеле возвращает 422</t>
  </si>
  <si>
    <t xml:space="preserve">CO006</t>
  </si>
  <si>
    <t xml:space="preserve">Calc Engine: Алгоритм К - распределение компенсации</t>
  </si>
  <si>
    <t xml:space="preserve">RE014,TA026</t>
  </si>
  <si>
    <t xml:space="preserve">modules/compensation/application/services/compensation_allocator.py</t>
  </si>
  <si>
    <t xml:space="preserve">Коэффициент берётся из RuleVersion, действующей на конец периода</t>
  </si>
  <si>
    <t xml:space="preserve">CO007</t>
  </si>
  <si>
    <t xml:space="preserve">Юнит-тесты Алгоритма К (ветка election_allowed)</t>
  </si>
  <si>
    <t xml:space="preserve">tests/unit/compensation/test_compensation_allocator.py</t>
  </si>
  <si>
    <t xml:space="preserve">При election_allowed=false форма определяется без запроса волеизъявления</t>
  </si>
  <si>
    <t xml:space="preserve">CO008</t>
  </si>
  <si>
    <t xml:space="preserve">Application: RecordEmployeeElection command+handler</t>
  </si>
  <si>
    <t xml:space="preserve">modules/compensation/application/commands/record_employee_election</t>
  </si>
  <si>
    <t xml:space="preserve">Выбор формы после финализации дела отклоняется</t>
  </si>
  <si>
    <t xml:space="preserve">CO009</t>
  </si>
  <si>
    <t xml:space="preserve">Application: FinalizeCompensationCase command+handler</t>
  </si>
  <si>
    <t xml:space="preserve">CO005,CO006</t>
  </si>
  <si>
    <t xml:space="preserve">modules/compensation/application/commands/finalize_compensation_case</t>
  </si>
  <si>
    <t xml:space="preserve">Финализация публикует CompensationLineCreated для каждой строки</t>
  </si>
  <si>
    <t xml:space="preserve">CO010</t>
  </si>
  <si>
    <t xml:space="preserve">Celery-задача: create_compensation_case_from_event</t>
  </si>
  <si>
    <t xml:space="preserve">modules/compensation/infrastructure/tasks.py</t>
  </si>
  <si>
    <t xml:space="preserve">Событие TimesheetApproved асинхронно порождает CompensationCase в статусе draft</t>
  </si>
  <si>
    <t xml:space="preserve">CO011</t>
  </si>
  <si>
    <t xml:space="preserve">Infra: consumer Redis Streams для TimesheetApproved</t>
  </si>
  <si>
    <t xml:space="preserve">TA006,CO010</t>
  </si>
  <si>
    <t xml:space="preserve">modules/compensation/infrastructure/event_consumer.py</t>
  </si>
  <si>
    <t xml:space="preserve">Consumer group читает поток без потери и дублирования при рестарте</t>
  </si>
  <si>
    <t xml:space="preserve">CO012</t>
  </si>
  <si>
    <t xml:space="preserve">Application (Query): GetCompensationHistory handler</t>
  </si>
  <si>
    <t xml:space="preserve">modules/compensation/application/queries/get_compensation_history</t>
  </si>
  <si>
    <t xml:space="preserve">Пагинированная история по сотруднику</t>
  </si>
  <si>
    <t xml:space="preserve">CO013</t>
  </si>
  <si>
    <t xml:space="preserve">Read-модель: таблица regional_compensation_forecast_projection</t>
  </si>
  <si>
    <t xml:space="preserve">modules/compensation/infrastructure/read/forecast_projection.py</t>
  </si>
  <si>
    <t xml:space="preserve">Таблица создана и заполняется агрегирующим запросом</t>
  </si>
  <si>
    <t xml:space="preserve">CO014</t>
  </si>
  <si>
    <t xml:space="preserve">Celery-задача: построение регионального прогноза</t>
  </si>
  <si>
    <t xml:space="preserve">modules/compensation/infrastructure/tasks.py (forecast)</t>
  </si>
  <si>
    <t xml:space="preserve">Beat запускает задачу раз в сутки, проекция обновляется</t>
  </si>
  <si>
    <t xml:space="preserve">CO015</t>
  </si>
  <si>
    <t xml:space="preserve">Application (Query): GetRegionalCompensationForecast handler</t>
  </si>
  <si>
    <t xml:space="preserve">modules/compensation/application/queries/get_regional_forecast</t>
  </si>
  <si>
    <t xml:space="preserve">Запрос возвращает агрегаты по regionUnitId и периоду</t>
  </si>
  <si>
    <t xml:space="preserve">CO016</t>
  </si>
  <si>
    <t xml:space="preserve">API: роутеры+схемы /compensation</t>
  </si>
  <si>
    <t xml:space="preserve">CO005,CO008,CO009,CO012,CO015</t>
  </si>
  <si>
    <t xml:space="preserve">modules/compensation/api/router.py</t>
  </si>
  <si>
    <t xml:space="preserve">CO017</t>
  </si>
  <si>
    <t xml:space="preserve">Интеграционный тест: TimesheetApproved -&gt; CompensationCase (асинхронно)</t>
  </si>
  <si>
    <t xml:space="preserve">CO010,CO011</t>
  </si>
  <si>
    <t xml:space="preserve">tests/integration/compensation/test_event_driven_creation.py</t>
  </si>
  <si>
    <t xml:space="preserve">Тест с ожиданием подтверждает появление дела без прямого вызова API</t>
  </si>
  <si>
    <t xml:space="preserve">CO018</t>
  </si>
  <si>
    <t xml:space="preserve">Интеграционный тест: ветка выбора формы компенсации</t>
  </si>
  <si>
    <t xml:space="preserve">tests/integration/compensation/test_election_flow.py</t>
  </si>
  <si>
    <t xml:space="preserve">Дефолтная форма применяется при отсутствии волеизъявления в срок</t>
  </si>
  <si>
    <t xml:space="preserve">CO019</t>
  </si>
  <si>
    <t xml:space="preserve">Контрактный тест Compensation против openapi.yaml</t>
  </si>
  <si>
    <t xml:space="preserve">tests/contract/test_compensation_contract.py</t>
  </si>
  <si>
    <t xml:space="preserve">CO020</t>
  </si>
  <si>
    <t xml:space="preserve">Contracts: публикация схемы события compensation_line_created</t>
  </si>
  <si>
    <t xml:space="preserve">modules/compensation/contracts/integration_events.py</t>
  </si>
  <si>
    <t xml:space="preserve">RestBalance валидирует входящее событие по опубликованной схеме</t>
  </si>
  <si>
    <t xml:space="preserve">RB001</t>
  </si>
  <si>
    <t xml:space="preserve">9. RestBalance</t>
  </si>
  <si>
    <t xml:space="preserve">RestBalance</t>
  </si>
  <si>
    <t xml:space="preserve">Domain: семантика BalanceMovement + инвариант неотрицательности остатка</t>
  </si>
  <si>
    <t xml:space="preserve">modules/rest_balance/domain/*.py</t>
  </si>
  <si>
    <t xml:space="preserve">Списание сверх остатка отклоняется доменным методом до сохранения</t>
  </si>
  <si>
    <t xml:space="preserve">RB002</t>
  </si>
  <si>
    <t xml:space="preserve">Юнит-тесты: остаток не может стать отрицательным</t>
  </si>
  <si>
    <t xml:space="preserve">tests/unit/rest_balance/test_balance_invariant.py</t>
  </si>
  <si>
    <t xml:space="preserve">Списание ровно равное остатку проходит, +0.01 - падает</t>
  </si>
  <si>
    <t xml:space="preserve">RB003</t>
  </si>
  <si>
    <t xml:space="preserve">Infra: SQLAlchemy mapping + BalanceMovementRepository + helper обновления MV</t>
  </si>
  <si>
    <t xml:space="preserve">DB017,RB001</t>
  </si>
  <si>
    <t xml:space="preserve">modules/rest_balance/infrastructure/*.py</t>
  </si>
  <si>
    <t xml:space="preserve">Сумма движений совпадает с current_balance после REFRESH</t>
  </si>
  <si>
    <t xml:space="preserve">RB004</t>
  </si>
  <si>
    <t xml:space="preserve">Celery-задача: accrue_rest_days</t>
  </si>
  <si>
    <t xml:space="preserve">CO020,RB003</t>
  </si>
  <si>
    <t xml:space="preserve">modules/rest_balance/infrastructure/tasks.py</t>
  </si>
  <si>
    <t xml:space="preserve">Начисление создаётся только для строк с additional_rest_time</t>
  </si>
  <si>
    <t xml:space="preserve">RB005</t>
  </si>
  <si>
    <t xml:space="preserve">Application: RequestConsumption command+handler</t>
  </si>
  <si>
    <t xml:space="preserve">modules/rest_balance/application/commands/request_consumption</t>
  </si>
  <si>
    <t xml:space="preserve">Запрос сверх остатка возвращает 422 с указанием текущего остатка</t>
  </si>
  <si>
    <t xml:space="preserve">RB006</t>
  </si>
  <si>
    <t xml:space="preserve">Application: ReverseMovement command+handler</t>
  </si>
  <si>
    <t xml:space="preserve">modules/rest_balance/application/commands/reverse_movement</t>
  </si>
  <si>
    <t xml:space="preserve">Сторно создаёт новую запись, исходная не изменяется</t>
  </si>
  <si>
    <t xml:space="preserve">RB007</t>
  </si>
  <si>
    <t xml:space="preserve">Application (Query): GetBalance handler</t>
  </si>
  <si>
    <t xml:space="preserve">modules/rest_balance/application/queries/get_balance</t>
  </si>
  <si>
    <t xml:space="preserve">Сотрудник видит только свой остаток</t>
  </si>
  <si>
    <t xml:space="preserve">RB008</t>
  </si>
  <si>
    <t xml:space="preserve">Application (Query): GetMovements handler</t>
  </si>
  <si>
    <t xml:space="preserve">modules/rest_balance/application/queries/get_movements</t>
  </si>
  <si>
    <t xml:space="preserve">Список движений с пагинацией согласно openapi.yaml</t>
  </si>
  <si>
    <t xml:space="preserve">RB009</t>
  </si>
  <si>
    <t xml:space="preserve">API: роутеры+схемы /rest-balance</t>
  </si>
  <si>
    <t xml:space="preserve">RB005,RB007,RB008</t>
  </si>
  <si>
    <t xml:space="preserve">modules/rest_balance/api/router.py</t>
  </si>
  <si>
    <t xml:space="preserve">RB010</t>
  </si>
  <si>
    <t xml:space="preserve">Интеграционный тест: начисление-&gt;списание-&gt;отказ при недостатке</t>
  </si>
  <si>
    <t xml:space="preserve">RB004,RB005</t>
  </si>
  <si>
    <t xml:space="preserve">tests/integration/rest_balance/test_full_cycle.py</t>
  </si>
  <si>
    <t xml:space="preserve">Тест проходит через асинхронное начисление и синхронное списание</t>
  </si>
  <si>
    <t xml:space="preserve">RB011</t>
  </si>
  <si>
    <t xml:space="preserve">Контрактный тест RestBalance против openapi.yaml</t>
  </si>
  <si>
    <t xml:space="preserve">tests/contract/test_rest_balance_contract.py</t>
  </si>
  <si>
    <t xml:space="preserve">RB012</t>
  </si>
  <si>
    <t xml:space="preserve">Планирование периодического REFRESH MATERIALIZED VIEW (Celery beat)</t>
  </si>
  <si>
    <t xml:space="preserve">composition/beat_schedule.py (rest_balance)</t>
  </si>
  <si>
    <t xml:space="preserve">Beat выполняет REFRESH CONCURRENTLY каждые N минут</t>
  </si>
  <si>
    <t xml:space="preserve">LM001</t>
  </si>
  <si>
    <t xml:space="preserve">10. LeaveManagement</t>
  </si>
  <si>
    <t xml:space="preserve">LeaveManagement</t>
  </si>
  <si>
    <t xml:space="preserve">Domain: dataclass LeaveGrant/RecallEvent + инварианты</t>
  </si>
  <si>
    <t xml:space="preserve">modules/leave_management/domain/*.py</t>
  </si>
  <si>
    <t xml:space="preserve">Пересечение периодов отпуска отклоняется, смежные - нет</t>
  </si>
  <si>
    <t xml:space="preserve">LM002</t>
  </si>
  <si>
    <t xml:space="preserve">Юнит-тесты инварианта пересечения (присоединение смежных отпусков)</t>
  </si>
  <si>
    <t xml:space="preserve">tests/unit/leave_management/test_leave_overlap.py</t>
  </si>
  <si>
    <t xml:space="preserve">Смежные периоды не считаются пересечением</t>
  </si>
  <si>
    <t xml:space="preserve">LM003</t>
  </si>
  <si>
    <t xml:space="preserve">Infra: SQLAlchemy mapping (EXCLUDE+частичный индекс) + LeaveGrantRepository</t>
  </si>
  <si>
    <t xml:space="preserve">DB018,LM001</t>
  </si>
  <si>
    <t xml:space="preserve">modules/leave_management/infrastructure/*.py</t>
  </si>
  <si>
    <t xml:space="preserve">Повторная выдача personal_circumstances_20y отклоняется на уровне БД</t>
  </si>
  <si>
    <t xml:space="preserve">LM004</t>
  </si>
  <si>
    <t xml:space="preserve">Calc Engine: расчёт продолжительности отпуска (leave_entitlement)</t>
  </si>
  <si>
    <t xml:space="preserve">modules/leave_management/application/services/entitlement_calculator.py</t>
  </si>
  <si>
    <t xml:space="preserve">Продолжительность зависит от стажа и действующей RuleVersion</t>
  </si>
  <si>
    <t xml:space="preserve">LM005</t>
  </si>
  <si>
    <t xml:space="preserve">Application: CreateLeaveGrant command+handler</t>
  </si>
  <si>
    <t xml:space="preserve">LM003,LM004</t>
  </si>
  <si>
    <t xml:space="preserve">modules/leave_management/application/commands/create_leave_grant</t>
  </si>
  <si>
    <t xml:space="preserve">Пересечение с существующим отпуском возвращает 409</t>
  </si>
  <si>
    <t xml:space="preserve">LM006</t>
  </si>
  <si>
    <t xml:space="preserve">Интеграционный тест: одноразовость personal_circumstances_20y</t>
  </si>
  <si>
    <t xml:space="preserve">tests/integration/leave_management/test_once_per_lifetime.py</t>
  </si>
  <si>
    <t xml:space="preserve">Повторная попытка выдачи отклоняется</t>
  </si>
  <si>
    <t xml:space="preserve">LM007</t>
  </si>
  <si>
    <t xml:space="preserve">Application: RecallFromLeave command+handler</t>
  </si>
  <si>
    <t xml:space="preserve">modules/leave_management/application/commands/recall_from_leave</t>
  </si>
  <si>
    <t xml:space="preserve">Остаток дней после отзыва явно зафиксирован</t>
  </si>
  <si>
    <t xml:space="preserve">LM008</t>
  </si>
  <si>
    <t xml:space="preserve">Application (Query): GetEmployeeLeaveGrants/GetLeaveGrant handlers</t>
  </si>
  <si>
    <t xml:space="preserve">modules/leave_management/application/queries/*</t>
  </si>
  <si>
    <t xml:space="preserve">Список и карточка отпуска доступны согласно openapi.yaml</t>
  </si>
  <si>
    <t xml:space="preserve">LM009</t>
  </si>
  <si>
    <t xml:space="preserve">Интеграция с RestBalance: списание ДДО при присоединении отпуска</t>
  </si>
  <si>
    <t xml:space="preserve">LM007,RB005</t>
  </si>
  <si>
    <t xml:space="preserve">modules/leave_management/infrastructure/anticorruption/rest_balance_client.py</t>
  </si>
  <si>
    <t xml:space="preserve">Присоединение вызывает RestBalance.contracts, не импортируя rest_balance.domain</t>
  </si>
  <si>
    <t xml:space="preserve">LM010</t>
  </si>
  <si>
    <t xml:space="preserve">API: роутеры+схемы /leave</t>
  </si>
  <si>
    <t xml:space="preserve">LM005,LM007,LM008</t>
  </si>
  <si>
    <t xml:space="preserve">modules/leave_management/api/router.py</t>
  </si>
  <si>
    <t xml:space="preserve">LM011</t>
  </si>
  <si>
    <t xml:space="preserve">Интеграционный тест: предоставление-&gt;отзыв-&gt;учёт остатка</t>
  </si>
  <si>
    <t xml:space="preserve">tests/integration/leave_management/test_recall_flow.py</t>
  </si>
  <si>
    <t xml:space="preserve">Тест подтверждает корректный RecallEvent и статус LeaveGrant</t>
  </si>
  <si>
    <t xml:space="preserve">LM012</t>
  </si>
  <si>
    <t xml:space="preserve">Контрактный тест LeaveManagement против openapi.yaml</t>
  </si>
  <si>
    <t xml:space="preserve">tests/contract/test_leave_contract.py</t>
  </si>
  <si>
    <t xml:space="preserve">LM013</t>
  </si>
  <si>
    <t xml:space="preserve">Seed-скрипт: образцы отпусков для dev/test</t>
  </si>
  <si>
    <t xml:space="preserve">scripts/seed_leave_dev.py</t>
  </si>
  <si>
    <t xml:space="preserve">Скрипт создаёт по одному отпуску каждого типа</t>
  </si>
  <si>
    <t xml:space="preserve">LM014</t>
  </si>
  <si>
    <t xml:space="preserve">Domain service: проверка конфликта отпуска со сменой (Scheduling.contracts)</t>
  </si>
  <si>
    <t xml:space="preserve">SD015,LM005</t>
  </si>
  <si>
    <t xml:space="preserve">modules/leave_management/application/services/schedule_conflict_checker.py</t>
  </si>
  <si>
    <t xml:space="preserve">Запрос отпуска на дату утверждённой смены отклоняется до сохранения</t>
  </si>
  <si>
    <t xml:space="preserve">LM015</t>
  </si>
  <si>
    <t xml:space="preserve">Интеграционный тест: отпуск отклонён из-за конфликта со сменой</t>
  </si>
  <si>
    <t xml:space="preserve">tests/integration/leave_management/test_schedule_conflict.py</t>
  </si>
  <si>
    <t xml:space="preserve">Тест подтверждает отказ с сообщением о конфликтующей смене</t>
  </si>
  <si>
    <t xml:space="preserve">FE001</t>
  </si>
  <si>
    <t xml:space="preserve">11. Frontend</t>
  </si>
  <si>
    <t xml:space="preserve">Frontend</t>
  </si>
  <si>
    <t xml:space="preserve">Инициализировать Next.js App Router проект + TypeScript конфиг</t>
  </si>
  <si>
    <t xml:space="preserve">frontend/ проект</t>
  </si>
  <si>
    <t xml:space="preserve">npm run build проходит на пустом проекте</t>
  </si>
  <si>
    <t xml:space="preserve">FE002</t>
  </si>
  <si>
    <t xml:space="preserve">Настроить Tailwind + инициализировать shadcn/ui</t>
  </si>
  <si>
    <t xml:space="preserve">tailwind.config, components.json</t>
  </si>
  <si>
    <t xml:space="preserve">Пример Button из shadcn/ui рендерится на тестовой странице</t>
  </si>
  <si>
    <t xml:space="preserve">FE003</t>
  </si>
  <si>
    <t xml:space="preserve">Настроить дизайн-токены (тема, тёмная/светлая тема)</t>
  </si>
  <si>
    <t xml:space="preserve">globals.css с CSS-переменными</t>
  </si>
  <si>
    <t xml:space="preserve">Переключение темы меняет цвета без перезагрузки страницы</t>
  </si>
  <si>
    <t xml:space="preserve">FE004</t>
  </si>
  <si>
    <t xml:space="preserve">Корневой layout + providers (Theme, QueryClient, Session, Toaster)</t>
  </si>
  <si>
    <t xml:space="preserve">app/layout.tsx</t>
  </si>
  <si>
    <t xml:space="preserve">Провайдеры видны в React DevTools на любой странице</t>
  </si>
  <si>
    <t xml:space="preserve">FE005</t>
  </si>
  <si>
    <t xml:space="preserve">Route group (auth)/login: форма входа</t>
  </si>
  <si>
    <t xml:space="preserve">app/(auth)/login/page.tsx</t>
  </si>
  <si>
    <t xml:space="preserve">Форма валидирует пустые поля, вызывает мок-эндпоинт входа</t>
  </si>
  <si>
    <t xml:space="preserve">FE006</t>
  </si>
  <si>
    <t xml:space="preserve">(app)-shell layout: топ-бар + ролевой сайдбар</t>
  </si>
  <si>
    <t xml:space="preserve">app/(app)/layout.tsx</t>
  </si>
  <si>
    <t xml:space="preserve">Redirect на /login без сессии; пункты меню отличаются для двух ролей</t>
  </si>
  <si>
    <t xml:space="preserve">FE007</t>
  </si>
  <si>
    <t xml:space="preserve">lib/api-client: типизированный HTTP-клиент (auth + Idempotency-Key)</t>
  </si>
  <si>
    <t xml:space="preserve">lib/api-client/*</t>
  </si>
  <si>
    <t xml:space="preserve">Клиент добавляет Authorization и Idempotency-Key к POST-запросам</t>
  </si>
  <si>
    <t xml:space="preserve">FE008</t>
  </si>
  <si>
    <t xml:space="preserve">lib/auth: доступ к сессии (сервер+клиент)</t>
  </si>
  <si>
    <t xml:space="preserve">lib/auth/*</t>
  </si>
  <si>
    <t xml:space="preserve">Server и Client Component получают одинаковый набор ролей из сессии</t>
  </si>
  <si>
    <t xml:space="preserve">FE009</t>
  </si>
  <si>
    <t xml:space="preserve">Генерация TS-типов из openapi.yaml</t>
  </si>
  <si>
    <t xml:space="preserve">scripts/generate-types.ts</t>
  </si>
  <si>
    <t xml:space="preserve">Изменение DTO после regen отражается в TS-типах без ручной правки</t>
  </si>
  <si>
    <t xml:space="preserve">FE010</t>
  </si>
  <si>
    <t xml:space="preserve">components/shared: DataTable</t>
  </si>
  <si>
    <t xml:space="preserve">components/shared/DataTable</t>
  </si>
  <si>
    <t xml:space="preserve">Компонент корректно рендерит конверт пагинации с сортировкой</t>
  </si>
  <si>
    <t xml:space="preserve">FE011</t>
  </si>
  <si>
    <t xml:space="preserve">components/shared: DateRangePicker</t>
  </si>
  <si>
    <t xml:space="preserve">components/shared/DateRangePicker</t>
  </si>
  <si>
    <t xml:space="preserve">Выбор диапазона обновляет periodStart/periodEnd в URL search params</t>
  </si>
  <si>
    <t xml:space="preserve">FE012</t>
  </si>
  <si>
    <t xml:space="preserve">components/shared: StatusBadge</t>
  </si>
  <si>
    <t xml:space="preserve">components/shared/StatusBadge</t>
  </si>
  <si>
    <t xml:space="preserve">Каждый enum-статус имеет цвет/подпись без дублирования логики</t>
  </si>
  <si>
    <t xml:space="preserve">FE013</t>
  </si>
  <si>
    <t xml:space="preserve">components/shared: RoleGate</t>
  </si>
  <si>
    <t xml:space="preserve">components/shared/RoleGate</t>
  </si>
  <si>
    <t xml:space="preserve">Дочерний контент не рендерится при отсутствии нужной роли</t>
  </si>
  <si>
    <t xml:space="preserve">FE014</t>
  </si>
  <si>
    <t xml:space="preserve">components/shared: ProvenanceTooltip</t>
  </si>
  <si>
    <t xml:space="preserve">components/shared/ProvenanceTooltip</t>
  </si>
  <si>
    <t xml:space="preserve">Наведение на число показывает usedRuleVersionId и ссылку на Source</t>
  </si>
  <si>
    <t xml:space="preserve">FE015</t>
  </si>
  <si>
    <t xml:space="preserve">components/shared: PageHeader, EmptyState, ErrorPanel</t>
  </si>
  <si>
    <t xml:space="preserve">components/shared/*</t>
  </si>
  <si>
    <t xml:space="preserve">ErrorPanel человекочитаемо показывает Problem-объект</t>
  </si>
  <si>
    <t xml:space="preserve">FE016</t>
  </si>
  <si>
    <t xml:space="preserve">components/shared: IdempotentActionButton</t>
  </si>
  <si>
    <t xml:space="preserve">components/shared/IdempotentActionButton</t>
  </si>
  <si>
    <t xml:space="preserve">Повторный клик во время pending-запроса переиспользует Idempotency-Key</t>
  </si>
  <si>
    <t xml:space="preserve">FE017</t>
  </si>
  <si>
    <t xml:space="preserve">features/time-accounting: query-хуки (summary, history, dashboard)</t>
  </si>
  <si>
    <t xml:space="preserve">features/time-accounting/api,hooks</t>
  </si>
  <si>
    <t xml:space="preserve">Хуки типизированы, ключи запросов namespaced по модулю</t>
  </si>
  <si>
    <t xml:space="preserve">FE018</t>
  </si>
  <si>
    <t xml:space="preserve">features/time-accounting: mutation-хуки</t>
  </si>
  <si>
    <t xml:space="preserve">FE009,FE016</t>
  </si>
  <si>
    <t xml:space="preserve">Мутация вызывает invalidateQueries по тегу ресурса после успеха</t>
  </si>
  <si>
    <t xml:space="preserve">FE019</t>
  </si>
  <si>
    <t xml:space="preserve">Страница /time-accounting/my</t>
  </si>
  <si>
    <t xml:space="preserve">FE017,FE010</t>
  </si>
  <si>
    <t xml:space="preserve">app/(app)/time-accounting/my/page.tsx</t>
  </si>
  <si>
    <t xml:space="preserve">Server Component отдаёт HTML со сводкой без лишнего JS</t>
  </si>
  <si>
    <t xml:space="preserve">FE020</t>
  </si>
  <si>
    <t xml:space="preserve">Страница /time-accounting/timesheets/[id] + TimesheetEventForm</t>
  </si>
  <si>
    <t xml:space="preserve">app/.../timesheets/[timesheetId]/page.tsx</t>
  </si>
  <si>
    <t xml:space="preserve">Форма дискриминирована по eventType, поля меняются по типу</t>
  </si>
  <si>
    <t xml:space="preserve">FE021</t>
  </si>
  <si>
    <t xml:space="preserve">Intercepting route модалка events/new</t>
  </si>
  <si>
    <t xml:space="preserve">app/.../@modal/(.)events/new</t>
  </si>
  <si>
    <t xml:space="preserve">Модалка открывается поверх списка, прямой URL - полноценная страница</t>
  </si>
  <si>
    <t xml:space="preserve">FE022</t>
  </si>
  <si>
    <t xml:space="preserve">Страница /time-accounting/units/[unitId]/dashboard + chart</t>
  </si>
  <si>
    <t xml:space="preserve">app/.../dashboard/page.tsx</t>
  </si>
  <si>
    <t xml:space="preserve">Агрегированные показатели совпадают с данными API</t>
  </si>
  <si>
    <t xml:space="preserve">FE023</t>
  </si>
  <si>
    <t xml:space="preserve">features/scheduling: api+хуки</t>
  </si>
  <si>
    <t xml:space="preserve">features/scheduling/*</t>
  </si>
  <si>
    <t xml:space="preserve">Хуки покрывают все эндпоинты Scheduling</t>
  </si>
  <si>
    <t xml:space="preserve">FE024</t>
  </si>
  <si>
    <t xml:space="preserve">Страница /scheduling/units/[unitId]</t>
  </si>
  <si>
    <t xml:space="preserve">app/.../scheduling/units/[unitId]/page.tsx</t>
  </si>
  <si>
    <t xml:space="preserve">Список фильтруется по period через URL</t>
  </si>
  <si>
    <t xml:space="preserve">FE025</t>
  </si>
  <si>
    <t xml:space="preserve">Страница+ShiftCalendarGrid (drag/drop)</t>
  </si>
  <si>
    <t xml:space="preserve">app/.../schedules/[scheduleId]/page.tsx</t>
  </si>
  <si>
    <t xml:space="preserve">Перетаскивание вызывает AddPlannedShift, конфликт показывает баннер</t>
  </si>
  <si>
    <t xml:space="preserve">FE026</t>
  </si>
  <si>
    <t xml:space="preserve">Кнопки Approve/Revise на странице графика</t>
  </si>
  <si>
    <t xml:space="preserve">обновление страницы графика</t>
  </si>
  <si>
    <t xml:space="preserve">Approve недоступен после Revise без повторного статуса draft</t>
  </si>
  <si>
    <t xml:space="preserve">FE027</t>
  </si>
  <si>
    <t xml:space="preserve">features/compensation: api+хуки</t>
  </si>
  <si>
    <t xml:space="preserve">features/compensation/*</t>
  </si>
  <si>
    <t xml:space="preserve">Хуки покрывают все эндпоинты Compensation</t>
  </si>
  <si>
    <t xml:space="preserve">FE028</t>
  </si>
  <si>
    <t xml:space="preserve">Страница /compensation/cases/[id] + ElectionFormDialog</t>
  </si>
  <si>
    <t xml:space="preserve">app/.../compensation/cases/[caseId]/page.tsx</t>
  </si>
  <si>
    <t xml:space="preserve">Диалог показывается только если electionAllowed=true</t>
  </si>
  <si>
    <t xml:space="preserve">FE029</t>
  </si>
  <si>
    <t xml:space="preserve">Страница /compensation/employees/[id]/history</t>
  </si>
  <si>
    <t xml:space="preserve">app/.../history/page.tsx</t>
  </si>
  <si>
    <t xml:space="preserve">Пагинированная история отображается корректно</t>
  </si>
  <si>
    <t xml:space="preserve">FE030</t>
  </si>
  <si>
    <t xml:space="preserve">Страница /compensation/regions/[id]/forecast + график</t>
  </si>
  <si>
    <t xml:space="preserve">app/.../forecast/page.tsx</t>
  </si>
  <si>
    <t xml:space="preserve">График строится по данным RegionalCompensationForecast</t>
  </si>
  <si>
    <t xml:space="preserve">FE031</t>
  </si>
  <si>
    <t xml:space="preserve">features/rest-balance: api+хуки + RestBalanceGauge</t>
  </si>
  <si>
    <t xml:space="preserve">features/rest-balance/*</t>
  </si>
  <si>
    <t xml:space="preserve">Gauge визуализирует остаток относительно максимума</t>
  </si>
  <si>
    <t xml:space="preserve">FE032</t>
  </si>
  <si>
    <t xml:space="preserve">Страница /rest-balance/my + модалка requests/new</t>
  </si>
  <si>
    <t xml:space="preserve">app/.../rest-balance/my/page.tsx</t>
  </si>
  <si>
    <t xml:space="preserve">Заявка сверх остатка показывает ошибку 422 инлайн</t>
  </si>
  <si>
    <t xml:space="preserve">FE033</t>
  </si>
  <si>
    <t xml:space="preserve">features/leave: api+хуки + LeaveTimeline</t>
  </si>
  <si>
    <t xml:space="preserve">features/leave/*</t>
  </si>
  <si>
    <t xml:space="preserve">Timeline визуализирует периоды без наложений</t>
  </si>
  <si>
    <t xml:space="preserve">FE034</t>
  </si>
  <si>
    <t xml:space="preserve">Страницы /leave/my,/grants/new,/grants/[id]+RecallDialog</t>
  </si>
  <si>
    <t xml:space="preserve">app/(app)/leave/**</t>
  </si>
  <si>
    <t xml:space="preserve">Форма валидирует пересечение на клиенте до отправки</t>
  </si>
  <si>
    <t xml:space="preserve">FE035</t>
  </si>
  <si>
    <t xml:space="preserve">features/personnel: api+хуки + UnitTreeView + ServiceRecordTimeline</t>
  </si>
  <si>
    <t xml:space="preserve">features/personnel/*</t>
  </si>
  <si>
    <t xml:space="preserve">UnitTreeView отображает ltree-иерархию произвольной глубины</t>
  </si>
  <si>
    <t xml:space="preserve">FE036</t>
  </si>
  <si>
    <t xml:space="preserve">Страница /personnel/employees (список+фильтры в URL)</t>
  </si>
  <si>
    <t xml:space="preserve">app/(app)/personnel/employees/page.tsx</t>
  </si>
  <si>
    <t xml:space="preserve">Фильтр и пагинация хранятся в URL, страница шарибл</t>
  </si>
  <si>
    <t xml:space="preserve">FE037</t>
  </si>
  <si>
    <t xml:space="preserve">Страница /personnel/employees/[id]</t>
  </si>
  <si>
    <t xml:space="preserve">app/.../employees/[employeeId]/page.tsx</t>
  </si>
  <si>
    <t xml:space="preserve">История службы отображается хронологически</t>
  </si>
  <si>
    <t xml:space="preserve">FE038</t>
  </si>
  <si>
    <t xml:space="preserve">Страница /personnel/units (дерево)</t>
  </si>
  <si>
    <t xml:space="preserve">app/(app)/personnel/units/page.tsx</t>
  </si>
  <si>
    <t xml:space="preserve">Дерево раскрывается/сворачивается</t>
  </si>
  <si>
    <t xml:space="preserve">FE039</t>
  </si>
  <si>
    <t xml:space="preserve">features/service-calendar: api+хуки + CalendarDayGridEditor</t>
  </si>
  <si>
    <t xml:space="preserve">features/service-calendar/*</t>
  </si>
  <si>
    <t xml:space="preserve">Редактор позволяет массово задать day_type для диапазона</t>
  </si>
  <si>
    <t xml:space="preserve">FE040</t>
  </si>
  <si>
    <t xml:space="preserve">Страница /service-calendar/[year]</t>
  </si>
  <si>
    <t xml:space="preserve">app/.../service-calendar/[year]/page.tsx</t>
  </si>
  <si>
    <t xml:space="preserve">После публикации редактор становится read-only</t>
  </si>
  <si>
    <t xml:space="preserve">FE041</t>
  </si>
  <si>
    <t xml:space="preserve">features/legal-rules: api+хуки + ConditionTreeBuilder</t>
  </si>
  <si>
    <t xml:space="preserve">features/legal-rules/*</t>
  </si>
  <si>
    <t xml:space="preserve">Конструктор собирает дерево Condition, экспортирует валидный JSON</t>
  </si>
  <si>
    <t xml:space="preserve">FE042</t>
  </si>
  <si>
    <t xml:space="preserve">FormulaTreeBuilder компонент</t>
  </si>
  <si>
    <t xml:space="preserve">components в features/legal-rules</t>
  </si>
  <si>
    <t xml:space="preserve">Конструктор поддерживает все типы узлов Formula, включая rule_reference</t>
  </si>
  <si>
    <t xml:space="preserve">FE043</t>
  </si>
  <si>
    <t xml:space="preserve">Страница /legal-rules/rules (список + создание версии)</t>
  </si>
  <si>
    <t xml:space="preserve">FE041,FE042</t>
  </si>
  <si>
    <t xml:space="preserve">app/(app)/legal-rules/**</t>
  </si>
  <si>
    <t xml:space="preserve">Флоу создания черновика доступен без ручного редактирования JSON</t>
  </si>
  <si>
    <t xml:space="preserve">FE044</t>
  </si>
  <si>
    <t xml:space="preserve">RuleVersionDiffViewer + страница dry-run</t>
  </si>
  <si>
    <t xml:space="preserve">app/.../dry-run/page.tsx</t>
  </si>
  <si>
    <t xml:space="preserve">Diff подсвечивает расхождения draft/текущей версии по сотрудникам</t>
  </si>
  <si>
    <t xml:space="preserve">FE045</t>
  </si>
  <si>
    <t xml:space="preserve">Страница /audit/exports (роль auditor)</t>
  </si>
  <si>
    <t xml:space="preserve">FE009,FE013</t>
  </si>
  <si>
    <t xml:space="preserve">app/(app)/audit/exports/page.tsx</t>
  </si>
  <si>
    <t xml:space="preserve">Доступна только роли auditor, все действия - GET</t>
  </si>
  <si>
    <t xml:space="preserve">OPS001</t>
  </si>
  <si>
    <t xml:space="preserve">12. Ops/QA</t>
  </si>
  <si>
    <t xml:space="preserve">Ops</t>
  </si>
  <si>
    <t xml:space="preserve">Структурное логирование (JSON) для api_app и worker_app</t>
  </si>
  <si>
    <t xml:space="preserve">F012,F013</t>
  </si>
  <si>
    <t xml:space="preserve">Общий logging-конфиг</t>
  </si>
  <si>
    <t xml:space="preserve">Логи парсятся как валидный JSON построчно</t>
  </si>
  <si>
    <t xml:space="preserve">OPS002</t>
  </si>
  <si>
    <t xml:space="preserve">Настроить Sentry error tracking</t>
  </si>
  <si>
    <t xml:space="preserve">Sentry SDK интеграция</t>
  </si>
  <si>
    <t xml:space="preserve">Намеренно вызванное исключение появляется в тестовом проекте Sentry</t>
  </si>
  <si>
    <t xml:space="preserve">OPS003</t>
  </si>
  <si>
    <t xml:space="preserve">Prometheus metrics endpoint для FastAPI</t>
  </si>
  <si>
    <t xml:space="preserve">GET /metrics</t>
  </si>
  <si>
    <t xml:space="preserve">Метрики запросов видны в формате Prometheus</t>
  </si>
  <si>
    <t xml:space="preserve">OPS004</t>
  </si>
  <si>
    <t xml:space="preserve">Экспорт метрик задач Celery</t>
  </si>
  <si>
    <t xml:space="preserve">Celery exporter конфиг</t>
  </si>
  <si>
    <t xml:space="preserve">Глубина очередей и время выполнения задач видны в Prometheus</t>
  </si>
  <si>
    <t xml:space="preserve">OPS005</t>
  </si>
  <si>
    <t xml:space="preserve">Grafana-дашборды (латентность API, глубина очередей)</t>
  </si>
  <si>
    <t xml:space="preserve">OPS003,OPS004</t>
  </si>
  <si>
    <t xml:space="preserve">Дашборд-JSON</t>
  </si>
  <si>
    <t xml:space="preserve">Дашборд импортируется в Grafana и показывает данные</t>
  </si>
  <si>
    <t xml:space="preserve">OPS006</t>
  </si>
  <si>
    <t xml:space="preserve">Настроить отправку логов в Loki</t>
  </si>
  <si>
    <t xml:space="preserve">Promtail/Loki конфиг</t>
  </si>
  <si>
    <t xml:space="preserve">Логи видны в тестовом Loki-инстансе</t>
  </si>
  <si>
    <t xml:space="preserve">OPS007</t>
  </si>
  <si>
    <t xml:space="preserve">Dockerfile для backend (общий образ api+worker)</t>
  </si>
  <si>
    <t xml:space="preserve">backend/Dockerfile</t>
  </si>
  <si>
    <t xml:space="preserve">Образ собирается, смена команды запускает api и worker роли</t>
  </si>
  <si>
    <t xml:space="preserve">OPS008</t>
  </si>
  <si>
    <t xml:space="preserve">Dockerfile для frontend</t>
  </si>
  <si>
    <t xml:space="preserve">frontend/Dockerfile</t>
  </si>
  <si>
    <t xml:space="preserve">Образ собирается и запускает production-сборку Next.js</t>
  </si>
  <si>
    <t xml:space="preserve">OPS009</t>
  </si>
  <si>
    <t xml:space="preserve">docker-compose для полного локального стека</t>
  </si>
  <si>
    <t xml:space="preserve">OPS007,OPS008</t>
  </si>
  <si>
    <t xml:space="preserve">docker-compose.full.yml</t>
  </si>
  <si>
    <t xml:space="preserve">docker compose up поднимает весь стек, health-checks зелёные</t>
  </si>
  <si>
    <t xml:space="preserve">OPS010</t>
  </si>
  <si>
    <t xml:space="preserve">CI: job юнит-тестов backend</t>
  </si>
  <si>
    <t xml:space="preserve">.github/workflows/backend-unit.yml</t>
  </si>
  <si>
    <t xml:space="preserve">Юнит-тесты доменного слоя проходят без БД</t>
  </si>
  <si>
    <t xml:space="preserve">OPS011</t>
  </si>
  <si>
    <t xml:space="preserve">CI: job интеграционных тестов backend (testcontainers)</t>
  </si>
  <si>
    <t xml:space="preserve">OPS010,DB020</t>
  </si>
  <si>
    <t xml:space="preserve">.github/workflows/backend-integration.yml</t>
  </si>
  <si>
    <t xml:space="preserve">Тесты проходят на эфемерной Postgres+Redis в CI</t>
  </si>
  <si>
    <t xml:space="preserve">OPS012</t>
  </si>
  <si>
    <t xml:space="preserve">CI: job контрактных тестов (schemathesis)</t>
  </si>
  <si>
    <t xml:space="preserve">.github/workflows/contract-tests.yml</t>
  </si>
  <si>
    <t xml:space="preserve">Job падает при намеренном расхождении со спецификацией</t>
  </si>
  <si>
    <t xml:space="preserve">OPS013</t>
  </si>
  <si>
    <t xml:space="preserve">CI: job lint+build frontend</t>
  </si>
  <si>
    <t xml:space="preserve">.github/workflows/frontend-ci.yml</t>
  </si>
  <si>
    <t xml:space="preserve">PR с ошибкой типов получает красный статус</t>
  </si>
  <si>
    <t xml:space="preserve">OPS014</t>
  </si>
  <si>
    <t xml:space="preserve">CI: job проверки границ модулей (import-linter)</t>
  </si>
  <si>
    <t xml:space="preserve">.github/workflows/architecture-check.yml</t>
  </si>
  <si>
    <t xml:space="preserve">PR с нарушением границы получает красный статус</t>
  </si>
  <si>
    <t xml:space="preserve">OPS015</t>
  </si>
  <si>
    <t xml:space="preserve">CI: job проверки миграций (upgrade head)</t>
  </si>
  <si>
    <t xml:space="preserve">.github/workflows/migrations-check.yml</t>
  </si>
  <si>
    <t xml:space="preserve">alembic upgrade head проходит на пустой БД в CI</t>
  </si>
  <si>
    <t xml:space="preserve">OPS016</t>
  </si>
  <si>
    <t xml:space="preserve">Nginx reverse proxy конфиг (маршрутизация, rate limiting)</t>
  </si>
  <si>
    <t xml:space="preserve">nginx.conf</t>
  </si>
  <si>
    <t xml:space="preserve">Запросы сверх лимита получают 429 с Problem-телом</t>
  </si>
  <si>
    <t xml:space="preserve">OPS017</t>
  </si>
  <si>
    <t xml:space="preserve">План и скрипт нагрузочного тестирования read-пути</t>
  </si>
  <si>
    <t xml:space="preserve">scripts/load-test/timesheet_summary.js</t>
  </si>
  <si>
    <t xml:space="preserve">Скрипт эмулирует 10000 RPS на GET timesheet-summary</t>
  </si>
  <si>
    <t xml:space="preserve">OPS018</t>
  </si>
  <si>
    <t xml:space="preserve">Чеклист безопасности: JWT и row-level авторизация по всем модулям</t>
  </si>
  <si>
    <t xml:space="preserve">docs/security-checklist.md</t>
  </si>
  <si>
    <t xml:space="preserve">Каждый эндпоинт сверен с ожидаемой ролью/scope, расхождения заведены как баги</t>
  </si>
  <si>
    <t xml:space="preserve">OPS019</t>
  </si>
  <si>
    <t xml:space="preserve">Runbook развёртывания (роли Api/Workers/Beat, масштабирование)</t>
  </si>
  <si>
    <t xml:space="preserve">OPS009,OPS016</t>
  </si>
  <si>
    <t xml:space="preserve">docs/deployment-runbook.md</t>
  </si>
  <si>
    <t xml:space="preserve">Новый инженер поднимает стек с нуля по документу без доп. вопросов</t>
  </si>
  <si>
    <t xml:space="preserve">OPS020</t>
  </si>
  <si>
    <t xml:space="preserve">Итоговый README, связывающий все документы проекта</t>
  </si>
  <si>
    <t xml:space="preserve">P3</t>
  </si>
  <si>
    <t xml:space="preserve">README.md</t>
  </si>
  <si>
    <t xml:space="preserve">Документ содержит ссылки на все предыдущие артефакты проекта</t>
  </si>
  <si>
    <t xml:space="preserve">Сводка бэклога реализации</t>
  </si>
  <si>
    <t xml:space="preserve">Всего задач:</t>
  </si>
  <si>
    <t xml:space="preserve">Суммарная оценка, часов:</t>
  </si>
  <si>
    <t xml:space="preserve">Суммарная оценка, человеко-недель (40ч/нед):</t>
  </si>
  <si>
    <t xml:space="preserve">По приоритету</t>
  </si>
  <si>
    <t xml:space="preserve">Кол-во задач</t>
  </si>
  <si>
    <t xml:space="preserve">Часов</t>
  </si>
  <si>
    <t xml:space="preserve">По модулю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</si>
</sst>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8CBCB"/>
        <bgColor rgb="FFD9D9D9"/>
      </patternFill>
    </fill>
    <fill>
      <patternFill patternType="solid">
        <fgColor rgb="FFFDE9C8"/>
        <bgColor rgb="FFE2E2E2"/>
      </patternFill>
    </fill>
    <fill>
      <patternFill patternType="solid">
        <fgColor rgb="FFDCEAD3"/>
        <bgColor rgb="FFE2E2E2"/>
      </patternFill>
    </fill>
    <fill>
      <patternFill patternType="solid">
        <fgColor rgb="FFE2E2E2"/>
        <bgColor rgb="FFDC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AD3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DE9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C8"/>
      <rgbColor rgb="FFE2E2E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D3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46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5" t="n">
        <v>1</v>
      </c>
    </row>
    <row r="3" customFormat="false" ht="23.85" hidden="false" customHeight="false" outlineLevel="0" collapsed="false">
      <c r="A3" s="2" t="s">
        <v>17</v>
      </c>
      <c r="B3" s="2" t="s">
        <v>10</v>
      </c>
      <c r="C3" s="2" t="s">
        <v>11</v>
      </c>
      <c r="D3" s="3" t="s">
        <v>18</v>
      </c>
      <c r="E3" s="4" t="s">
        <v>13</v>
      </c>
      <c r="F3" s="3" t="s">
        <v>9</v>
      </c>
      <c r="G3" s="3" t="s">
        <v>19</v>
      </c>
      <c r="H3" s="3" t="s">
        <v>20</v>
      </c>
      <c r="I3" s="5" t="n">
        <v>1</v>
      </c>
    </row>
    <row r="4" customFormat="false" ht="15" hidden="false" customHeight="false" outlineLevel="0" collapsed="false">
      <c r="A4" s="2" t="s">
        <v>21</v>
      </c>
      <c r="B4" s="2" t="s">
        <v>10</v>
      </c>
      <c r="C4" s="2" t="s">
        <v>11</v>
      </c>
      <c r="D4" s="3" t="s">
        <v>22</v>
      </c>
      <c r="E4" s="4" t="s">
        <v>13</v>
      </c>
      <c r="F4" s="3" t="s">
        <v>9</v>
      </c>
      <c r="G4" s="3" t="s">
        <v>23</v>
      </c>
      <c r="H4" s="3" t="s">
        <v>24</v>
      </c>
      <c r="I4" s="5" t="n">
        <v>1</v>
      </c>
    </row>
    <row r="5" customFormat="false" ht="23.85" hidden="false" customHeight="false" outlineLevel="0" collapsed="false">
      <c r="A5" s="2" t="s">
        <v>25</v>
      </c>
      <c r="B5" s="2" t="s">
        <v>10</v>
      </c>
      <c r="C5" s="2" t="s">
        <v>11</v>
      </c>
      <c r="D5" s="3" t="s">
        <v>26</v>
      </c>
      <c r="E5" s="4" t="s">
        <v>13</v>
      </c>
      <c r="F5" s="3" t="s">
        <v>9</v>
      </c>
      <c r="G5" s="3" t="s">
        <v>27</v>
      </c>
      <c r="H5" s="3" t="s">
        <v>28</v>
      </c>
      <c r="I5" s="5" t="n">
        <v>2</v>
      </c>
    </row>
    <row r="6" customFormat="false" ht="15" hidden="false" customHeight="false" outlineLevel="0" collapsed="false">
      <c r="A6" s="2" t="s">
        <v>29</v>
      </c>
      <c r="B6" s="2" t="s">
        <v>10</v>
      </c>
      <c r="C6" s="2" t="s">
        <v>11</v>
      </c>
      <c r="D6" s="3" t="s">
        <v>30</v>
      </c>
      <c r="E6" s="6" t="s">
        <v>31</v>
      </c>
      <c r="F6" s="3" t="s">
        <v>32</v>
      </c>
      <c r="G6" s="3" t="s">
        <v>33</v>
      </c>
      <c r="H6" s="3" t="s">
        <v>34</v>
      </c>
      <c r="I6" s="5" t="n">
        <v>1</v>
      </c>
    </row>
    <row r="7" customFormat="false" ht="23.85" hidden="false" customHeight="false" outlineLevel="0" collapsed="false">
      <c r="A7" s="2" t="s">
        <v>35</v>
      </c>
      <c r="B7" s="2" t="s">
        <v>10</v>
      </c>
      <c r="C7" s="2" t="s">
        <v>11</v>
      </c>
      <c r="D7" s="3" t="s">
        <v>36</v>
      </c>
      <c r="E7" s="4" t="s">
        <v>13</v>
      </c>
      <c r="F7" s="3" t="s">
        <v>32</v>
      </c>
      <c r="G7" s="3" t="s">
        <v>37</v>
      </c>
      <c r="H7" s="3" t="s">
        <v>38</v>
      </c>
      <c r="I7" s="5" t="n">
        <v>2</v>
      </c>
    </row>
    <row r="8" customFormat="false" ht="23.85" hidden="false" customHeight="false" outlineLevel="0" collapsed="false">
      <c r="A8" s="2" t="s">
        <v>39</v>
      </c>
      <c r="B8" s="2" t="s">
        <v>10</v>
      </c>
      <c r="C8" s="2" t="s">
        <v>11</v>
      </c>
      <c r="D8" s="3" t="s">
        <v>40</v>
      </c>
      <c r="E8" s="4" t="s">
        <v>13</v>
      </c>
      <c r="F8" s="3" t="s">
        <v>9</v>
      </c>
      <c r="G8" s="3" t="s">
        <v>41</v>
      </c>
      <c r="H8" s="3" t="s">
        <v>42</v>
      </c>
      <c r="I8" s="5" t="n">
        <v>1</v>
      </c>
    </row>
    <row r="9" customFormat="false" ht="23.85" hidden="false" customHeight="false" outlineLevel="0" collapsed="false">
      <c r="A9" s="2" t="s">
        <v>43</v>
      </c>
      <c r="B9" s="2" t="s">
        <v>10</v>
      </c>
      <c r="C9" s="2" t="s">
        <v>11</v>
      </c>
      <c r="D9" s="3" t="s">
        <v>44</v>
      </c>
      <c r="E9" s="4" t="s">
        <v>13</v>
      </c>
      <c r="F9" s="3" t="s">
        <v>9</v>
      </c>
      <c r="G9" s="3" t="s">
        <v>45</v>
      </c>
      <c r="H9" s="3" t="s">
        <v>46</v>
      </c>
      <c r="I9" s="5" t="n">
        <v>2</v>
      </c>
    </row>
    <row r="10" customFormat="false" ht="23.85" hidden="false" customHeight="false" outlineLevel="0" collapsed="false">
      <c r="A10" s="2" t="s">
        <v>47</v>
      </c>
      <c r="B10" s="2" t="s">
        <v>10</v>
      </c>
      <c r="C10" s="2" t="s">
        <v>11</v>
      </c>
      <c r="D10" s="3" t="s">
        <v>48</v>
      </c>
      <c r="E10" s="4" t="s">
        <v>13</v>
      </c>
      <c r="F10" s="3" t="s">
        <v>43</v>
      </c>
      <c r="G10" s="3" t="s">
        <v>49</v>
      </c>
      <c r="H10" s="3" t="s">
        <v>50</v>
      </c>
      <c r="I10" s="5" t="n">
        <v>1</v>
      </c>
    </row>
    <row r="11" customFormat="false" ht="23.85" hidden="false" customHeight="false" outlineLevel="0" collapsed="false">
      <c r="A11" s="2" t="s">
        <v>51</v>
      </c>
      <c r="B11" s="2" t="s">
        <v>10</v>
      </c>
      <c r="C11" s="2" t="s">
        <v>11</v>
      </c>
      <c r="D11" s="3" t="s">
        <v>52</v>
      </c>
      <c r="E11" s="4" t="s">
        <v>13</v>
      </c>
      <c r="F11" s="3" t="s">
        <v>43</v>
      </c>
      <c r="G11" s="3" t="s">
        <v>53</v>
      </c>
      <c r="H11" s="3" t="s">
        <v>54</v>
      </c>
      <c r="I11" s="5" t="n">
        <v>2</v>
      </c>
    </row>
    <row r="12" customFormat="false" ht="23.85" hidden="false" customHeight="false" outlineLevel="0" collapsed="false">
      <c r="A12" s="2" t="s">
        <v>55</v>
      </c>
      <c r="B12" s="2" t="s">
        <v>10</v>
      </c>
      <c r="C12" s="2" t="s">
        <v>11</v>
      </c>
      <c r="D12" s="3" t="s">
        <v>56</v>
      </c>
      <c r="E12" s="4" t="s">
        <v>13</v>
      </c>
      <c r="F12" s="3" t="s">
        <v>39</v>
      </c>
      <c r="G12" s="3" t="s">
        <v>57</v>
      </c>
      <c r="H12" s="3" t="s">
        <v>58</v>
      </c>
      <c r="I12" s="5" t="n">
        <v>1</v>
      </c>
    </row>
    <row r="13" customFormat="false" ht="23.85" hidden="false" customHeight="false" outlineLevel="0" collapsed="false">
      <c r="A13" s="2" t="s">
        <v>59</v>
      </c>
      <c r="B13" s="2" t="s">
        <v>10</v>
      </c>
      <c r="C13" s="2" t="s">
        <v>11</v>
      </c>
      <c r="D13" s="3" t="s">
        <v>60</v>
      </c>
      <c r="E13" s="4" t="s">
        <v>13</v>
      </c>
      <c r="F13" s="3" t="s">
        <v>55</v>
      </c>
      <c r="G13" s="3" t="s">
        <v>61</v>
      </c>
      <c r="H13" s="3" t="s">
        <v>62</v>
      </c>
      <c r="I13" s="5" t="n">
        <v>1</v>
      </c>
    </row>
    <row r="14" customFormat="false" ht="23.85" hidden="false" customHeight="false" outlineLevel="0" collapsed="false">
      <c r="A14" s="2" t="s">
        <v>63</v>
      </c>
      <c r="B14" s="2" t="s">
        <v>10</v>
      </c>
      <c r="C14" s="2" t="s">
        <v>11</v>
      </c>
      <c r="D14" s="3" t="s">
        <v>64</v>
      </c>
      <c r="E14" s="4" t="s">
        <v>13</v>
      </c>
      <c r="F14" s="3" t="s">
        <v>55</v>
      </c>
      <c r="G14" s="3" t="s">
        <v>65</v>
      </c>
      <c r="H14" s="3" t="s">
        <v>66</v>
      </c>
      <c r="I14" s="5" t="n">
        <v>2</v>
      </c>
    </row>
    <row r="15" customFormat="false" ht="23.85" hidden="false" customHeight="false" outlineLevel="0" collapsed="false">
      <c r="A15" s="2" t="s">
        <v>67</v>
      </c>
      <c r="B15" s="2" t="s">
        <v>10</v>
      </c>
      <c r="C15" s="2" t="s">
        <v>11</v>
      </c>
      <c r="D15" s="3" t="s">
        <v>68</v>
      </c>
      <c r="E15" s="6" t="s">
        <v>31</v>
      </c>
      <c r="F15" s="3" t="s">
        <v>9</v>
      </c>
      <c r="G15" s="3" t="s">
        <v>69</v>
      </c>
      <c r="H15" s="3" t="s">
        <v>70</v>
      </c>
      <c r="I15" s="5" t="n">
        <v>2</v>
      </c>
    </row>
    <row r="16" customFormat="false" ht="35.05" hidden="false" customHeight="false" outlineLevel="0" collapsed="false">
      <c r="A16" s="2" t="s">
        <v>71</v>
      </c>
      <c r="B16" s="2" t="s">
        <v>10</v>
      </c>
      <c r="C16" s="2" t="s">
        <v>11</v>
      </c>
      <c r="D16" s="3" t="s">
        <v>72</v>
      </c>
      <c r="E16" s="7" t="s">
        <v>73</v>
      </c>
      <c r="F16" s="3" t="s">
        <v>67</v>
      </c>
      <c r="G16" s="3" t="s">
        <v>74</v>
      </c>
      <c r="H16" s="3" t="s">
        <v>75</v>
      </c>
      <c r="I16" s="5" t="n">
        <v>1</v>
      </c>
    </row>
    <row r="17" customFormat="false" ht="23.85" hidden="false" customHeight="false" outlineLevel="0" collapsed="false">
      <c r="A17" s="2" t="s">
        <v>76</v>
      </c>
      <c r="B17" s="2" t="s">
        <v>77</v>
      </c>
      <c r="C17" s="2" t="s">
        <v>78</v>
      </c>
      <c r="D17" s="3" t="s">
        <v>79</v>
      </c>
      <c r="E17" s="4" t="s">
        <v>13</v>
      </c>
      <c r="F17" s="3" t="s">
        <v>25</v>
      </c>
      <c r="G17" s="3" t="s">
        <v>80</v>
      </c>
      <c r="H17" s="3" t="s">
        <v>81</v>
      </c>
      <c r="I17" s="5" t="n">
        <v>1</v>
      </c>
    </row>
    <row r="18" customFormat="false" ht="23.85" hidden="false" customHeight="false" outlineLevel="0" collapsed="false">
      <c r="A18" s="2" t="s">
        <v>82</v>
      </c>
      <c r="B18" s="2" t="s">
        <v>77</v>
      </c>
      <c r="C18" s="2" t="s">
        <v>78</v>
      </c>
      <c r="D18" s="3" t="s">
        <v>83</v>
      </c>
      <c r="E18" s="4" t="s">
        <v>13</v>
      </c>
      <c r="F18" s="3" t="s">
        <v>76</v>
      </c>
      <c r="G18" s="3" t="s">
        <v>84</v>
      </c>
      <c r="H18" s="3" t="s">
        <v>85</v>
      </c>
      <c r="I18" s="5" t="n">
        <v>2</v>
      </c>
    </row>
    <row r="19" customFormat="false" ht="35.05" hidden="false" customHeight="false" outlineLevel="0" collapsed="false">
      <c r="A19" s="2" t="s">
        <v>86</v>
      </c>
      <c r="B19" s="2" t="s">
        <v>77</v>
      </c>
      <c r="C19" s="2" t="s">
        <v>78</v>
      </c>
      <c r="D19" s="3" t="s">
        <v>87</v>
      </c>
      <c r="E19" s="4" t="s">
        <v>13</v>
      </c>
      <c r="F19" s="3" t="s">
        <v>82</v>
      </c>
      <c r="G19" s="3" t="s">
        <v>88</v>
      </c>
      <c r="H19" s="3" t="s">
        <v>89</v>
      </c>
      <c r="I19" s="5" t="n">
        <v>1</v>
      </c>
    </row>
    <row r="20" customFormat="false" ht="23.85" hidden="false" customHeight="false" outlineLevel="0" collapsed="false">
      <c r="A20" s="2" t="s">
        <v>90</v>
      </c>
      <c r="B20" s="2" t="s">
        <v>77</v>
      </c>
      <c r="C20" s="2" t="s">
        <v>78</v>
      </c>
      <c r="D20" s="3" t="s">
        <v>91</v>
      </c>
      <c r="E20" s="4" t="s">
        <v>13</v>
      </c>
      <c r="F20" s="3" t="s">
        <v>86</v>
      </c>
      <c r="G20" s="3" t="s">
        <v>92</v>
      </c>
      <c r="H20" s="3" t="s">
        <v>93</v>
      </c>
      <c r="I20" s="5" t="n">
        <v>1</v>
      </c>
    </row>
    <row r="21" customFormat="false" ht="23.85" hidden="false" customHeight="false" outlineLevel="0" collapsed="false">
      <c r="A21" s="2" t="s">
        <v>94</v>
      </c>
      <c r="B21" s="2" t="s">
        <v>77</v>
      </c>
      <c r="C21" s="2" t="s">
        <v>78</v>
      </c>
      <c r="D21" s="3" t="s">
        <v>95</v>
      </c>
      <c r="E21" s="4" t="s">
        <v>13</v>
      </c>
      <c r="F21" s="3" t="s">
        <v>90</v>
      </c>
      <c r="G21" s="3" t="s">
        <v>96</v>
      </c>
      <c r="H21" s="3" t="s">
        <v>97</v>
      </c>
      <c r="I21" s="5" t="n">
        <v>2</v>
      </c>
    </row>
    <row r="22" customFormat="false" ht="23.85" hidden="false" customHeight="false" outlineLevel="0" collapsed="false">
      <c r="A22" s="2" t="s">
        <v>98</v>
      </c>
      <c r="B22" s="2" t="s">
        <v>77</v>
      </c>
      <c r="C22" s="2" t="s">
        <v>78</v>
      </c>
      <c r="D22" s="3" t="s">
        <v>99</v>
      </c>
      <c r="E22" s="4" t="s">
        <v>13</v>
      </c>
      <c r="F22" s="3" t="s">
        <v>94</v>
      </c>
      <c r="G22" s="3" t="s">
        <v>100</v>
      </c>
      <c r="H22" s="3" t="s">
        <v>101</v>
      </c>
      <c r="I22" s="5" t="n">
        <v>2</v>
      </c>
    </row>
    <row r="23" customFormat="false" ht="15" hidden="false" customHeight="false" outlineLevel="0" collapsed="false">
      <c r="A23" s="2" t="s">
        <v>102</v>
      </c>
      <c r="B23" s="2" t="s">
        <v>77</v>
      </c>
      <c r="C23" s="2" t="s">
        <v>78</v>
      </c>
      <c r="D23" s="3" t="s">
        <v>103</v>
      </c>
      <c r="E23" s="4" t="s">
        <v>13</v>
      </c>
      <c r="F23" s="3" t="s">
        <v>76</v>
      </c>
      <c r="G23" s="3" t="s">
        <v>104</v>
      </c>
      <c r="H23" s="3" t="s">
        <v>105</v>
      </c>
      <c r="I23" s="5" t="n">
        <v>1</v>
      </c>
    </row>
    <row r="24" customFormat="false" ht="23.85" hidden="false" customHeight="false" outlineLevel="0" collapsed="false">
      <c r="A24" s="2" t="s">
        <v>106</v>
      </c>
      <c r="B24" s="2" t="s">
        <v>77</v>
      </c>
      <c r="C24" s="2" t="s">
        <v>78</v>
      </c>
      <c r="D24" s="3" t="s">
        <v>107</v>
      </c>
      <c r="E24" s="4" t="s">
        <v>13</v>
      </c>
      <c r="F24" s="3" t="s">
        <v>102</v>
      </c>
      <c r="G24" s="3" t="s">
        <v>108</v>
      </c>
      <c r="H24" s="3" t="s">
        <v>109</v>
      </c>
      <c r="I24" s="5" t="n">
        <v>2</v>
      </c>
    </row>
    <row r="25" customFormat="false" ht="15" hidden="false" customHeight="false" outlineLevel="0" collapsed="false">
      <c r="A25" s="2" t="s">
        <v>110</v>
      </c>
      <c r="B25" s="2" t="s">
        <v>77</v>
      </c>
      <c r="C25" s="2" t="s">
        <v>78</v>
      </c>
      <c r="D25" s="3" t="s">
        <v>111</v>
      </c>
      <c r="E25" s="4" t="s">
        <v>13</v>
      </c>
      <c r="F25" s="3" t="s">
        <v>102</v>
      </c>
      <c r="G25" s="3" t="s">
        <v>112</v>
      </c>
      <c r="H25" s="3" t="s">
        <v>113</v>
      </c>
      <c r="I25" s="5" t="n">
        <v>1</v>
      </c>
    </row>
    <row r="26" customFormat="false" ht="23.85" hidden="false" customHeight="false" outlineLevel="0" collapsed="false">
      <c r="A26" s="2" t="s">
        <v>114</v>
      </c>
      <c r="B26" s="2" t="s">
        <v>77</v>
      </c>
      <c r="C26" s="2" t="s">
        <v>78</v>
      </c>
      <c r="D26" s="3" t="s">
        <v>115</v>
      </c>
      <c r="E26" s="4" t="s">
        <v>13</v>
      </c>
      <c r="F26" s="3" t="s">
        <v>116</v>
      </c>
      <c r="G26" s="3" t="s">
        <v>117</v>
      </c>
      <c r="H26" s="3" t="s">
        <v>118</v>
      </c>
      <c r="I26" s="5" t="n">
        <v>1</v>
      </c>
    </row>
    <row r="27" customFormat="false" ht="23.85" hidden="false" customHeight="false" outlineLevel="0" collapsed="false">
      <c r="A27" s="2" t="s">
        <v>119</v>
      </c>
      <c r="B27" s="2" t="s">
        <v>77</v>
      </c>
      <c r="C27" s="2" t="s">
        <v>78</v>
      </c>
      <c r="D27" s="3" t="s">
        <v>120</v>
      </c>
      <c r="E27" s="4" t="s">
        <v>13</v>
      </c>
      <c r="F27" s="3" t="s">
        <v>114</v>
      </c>
      <c r="G27" s="3" t="s">
        <v>121</v>
      </c>
      <c r="H27" s="3" t="s">
        <v>122</v>
      </c>
      <c r="I27" s="5" t="n">
        <v>2</v>
      </c>
    </row>
    <row r="28" customFormat="false" ht="23.85" hidden="false" customHeight="false" outlineLevel="0" collapsed="false">
      <c r="A28" s="2" t="s">
        <v>123</v>
      </c>
      <c r="B28" s="2" t="s">
        <v>77</v>
      </c>
      <c r="C28" s="2" t="s">
        <v>78</v>
      </c>
      <c r="D28" s="3" t="s">
        <v>124</v>
      </c>
      <c r="E28" s="4" t="s">
        <v>13</v>
      </c>
      <c r="F28" s="3" t="s">
        <v>76</v>
      </c>
      <c r="G28" s="3" t="s">
        <v>125</v>
      </c>
      <c r="H28" s="3" t="s">
        <v>126</v>
      </c>
      <c r="I28" s="5" t="n">
        <v>2</v>
      </c>
    </row>
    <row r="29" customFormat="false" ht="23.85" hidden="false" customHeight="false" outlineLevel="0" collapsed="false">
      <c r="A29" s="2" t="s">
        <v>127</v>
      </c>
      <c r="B29" s="2" t="s">
        <v>77</v>
      </c>
      <c r="C29" s="2" t="s">
        <v>78</v>
      </c>
      <c r="D29" s="3" t="s">
        <v>128</v>
      </c>
      <c r="E29" s="4" t="s">
        <v>13</v>
      </c>
      <c r="F29" s="3" t="s">
        <v>114</v>
      </c>
      <c r="G29" s="3" t="s">
        <v>129</v>
      </c>
      <c r="H29" s="3" t="s">
        <v>130</v>
      </c>
      <c r="I29" s="5" t="n">
        <v>2</v>
      </c>
    </row>
    <row r="30" customFormat="false" ht="35.05" hidden="false" customHeight="false" outlineLevel="0" collapsed="false">
      <c r="A30" s="2" t="s">
        <v>131</v>
      </c>
      <c r="B30" s="2" t="s">
        <v>77</v>
      </c>
      <c r="C30" s="2" t="s">
        <v>78</v>
      </c>
      <c r="D30" s="3" t="s">
        <v>132</v>
      </c>
      <c r="E30" s="4" t="s">
        <v>13</v>
      </c>
      <c r="F30" s="3" t="s">
        <v>114</v>
      </c>
      <c r="G30" s="3" t="s">
        <v>133</v>
      </c>
      <c r="H30" s="3" t="s">
        <v>134</v>
      </c>
      <c r="I30" s="5" t="n">
        <v>2</v>
      </c>
    </row>
    <row r="31" customFormat="false" ht="23.85" hidden="false" customHeight="false" outlineLevel="0" collapsed="false">
      <c r="A31" s="2" t="s">
        <v>135</v>
      </c>
      <c r="B31" s="2" t="s">
        <v>77</v>
      </c>
      <c r="C31" s="2" t="s">
        <v>78</v>
      </c>
      <c r="D31" s="3" t="s">
        <v>136</v>
      </c>
      <c r="E31" s="4" t="s">
        <v>13</v>
      </c>
      <c r="F31" s="3" t="s">
        <v>131</v>
      </c>
      <c r="G31" s="3" t="s">
        <v>137</v>
      </c>
      <c r="H31" s="3" t="s">
        <v>138</v>
      </c>
      <c r="I31" s="5" t="n">
        <v>1</v>
      </c>
    </row>
    <row r="32" customFormat="false" ht="23.85" hidden="false" customHeight="false" outlineLevel="0" collapsed="false">
      <c r="A32" s="2" t="s">
        <v>139</v>
      </c>
      <c r="B32" s="2" t="s">
        <v>77</v>
      </c>
      <c r="C32" s="2" t="s">
        <v>78</v>
      </c>
      <c r="D32" s="3" t="s">
        <v>140</v>
      </c>
      <c r="E32" s="4" t="s">
        <v>13</v>
      </c>
      <c r="F32" s="3" t="s">
        <v>131</v>
      </c>
      <c r="G32" s="3" t="s">
        <v>141</v>
      </c>
      <c r="H32" s="3" t="s">
        <v>142</v>
      </c>
      <c r="I32" s="5" t="n">
        <v>1</v>
      </c>
    </row>
    <row r="33" customFormat="false" ht="23.85" hidden="false" customHeight="false" outlineLevel="0" collapsed="false">
      <c r="A33" s="2" t="s">
        <v>143</v>
      </c>
      <c r="B33" s="2" t="s">
        <v>77</v>
      </c>
      <c r="C33" s="2" t="s">
        <v>78</v>
      </c>
      <c r="D33" s="3" t="s">
        <v>144</v>
      </c>
      <c r="E33" s="4" t="s">
        <v>13</v>
      </c>
      <c r="F33" s="3" t="s">
        <v>139</v>
      </c>
      <c r="G33" s="3" t="s">
        <v>145</v>
      </c>
      <c r="H33" s="3" t="s">
        <v>146</v>
      </c>
      <c r="I33" s="5" t="n">
        <v>2</v>
      </c>
    </row>
    <row r="34" customFormat="false" ht="35.05" hidden="false" customHeight="false" outlineLevel="0" collapsed="false">
      <c r="A34" s="2" t="s">
        <v>147</v>
      </c>
      <c r="B34" s="2" t="s">
        <v>77</v>
      </c>
      <c r="C34" s="2" t="s">
        <v>78</v>
      </c>
      <c r="D34" s="3" t="s">
        <v>148</v>
      </c>
      <c r="E34" s="4" t="s">
        <v>13</v>
      </c>
      <c r="F34" s="3" t="s">
        <v>114</v>
      </c>
      <c r="G34" s="3" t="s">
        <v>149</v>
      </c>
      <c r="H34" s="3" t="s">
        <v>150</v>
      </c>
      <c r="I34" s="5" t="n">
        <v>2</v>
      </c>
    </row>
    <row r="35" customFormat="false" ht="23.85" hidden="false" customHeight="false" outlineLevel="0" collapsed="false">
      <c r="A35" s="2" t="s">
        <v>151</v>
      </c>
      <c r="B35" s="2" t="s">
        <v>77</v>
      </c>
      <c r="C35" s="2" t="s">
        <v>78</v>
      </c>
      <c r="D35" s="3" t="s">
        <v>152</v>
      </c>
      <c r="E35" s="6" t="s">
        <v>31</v>
      </c>
      <c r="F35" s="3" t="s">
        <v>76</v>
      </c>
      <c r="G35" s="3" t="s">
        <v>153</v>
      </c>
      <c r="H35" s="3" t="s">
        <v>154</v>
      </c>
      <c r="I35" s="5" t="n">
        <v>2</v>
      </c>
    </row>
    <row r="36" customFormat="false" ht="23.85" hidden="false" customHeight="false" outlineLevel="0" collapsed="false">
      <c r="A36" s="2" t="s">
        <v>155</v>
      </c>
      <c r="B36" s="2" t="s">
        <v>77</v>
      </c>
      <c r="C36" s="2" t="s">
        <v>78</v>
      </c>
      <c r="D36" s="3" t="s">
        <v>156</v>
      </c>
      <c r="E36" s="6" t="s">
        <v>31</v>
      </c>
      <c r="F36" s="3" t="s">
        <v>157</v>
      </c>
      <c r="G36" s="3" t="s">
        <v>158</v>
      </c>
      <c r="H36" s="3" t="s">
        <v>159</v>
      </c>
      <c r="I36" s="5" t="n">
        <v>2</v>
      </c>
    </row>
    <row r="37" customFormat="false" ht="23.85" hidden="false" customHeight="false" outlineLevel="0" collapsed="false">
      <c r="A37" s="2" t="s">
        <v>160</v>
      </c>
      <c r="B37" s="2" t="s">
        <v>161</v>
      </c>
      <c r="C37" s="2" t="s">
        <v>162</v>
      </c>
      <c r="D37" s="3" t="s">
        <v>163</v>
      </c>
      <c r="E37" s="4" t="s">
        <v>13</v>
      </c>
      <c r="F37" s="3" t="s">
        <v>43</v>
      </c>
      <c r="G37" s="3" t="s">
        <v>164</v>
      </c>
      <c r="H37" s="3" t="s">
        <v>165</v>
      </c>
      <c r="I37" s="5" t="n">
        <v>2</v>
      </c>
    </row>
    <row r="38" customFormat="false" ht="23.85" hidden="false" customHeight="false" outlineLevel="0" collapsed="false">
      <c r="A38" s="2" t="s">
        <v>166</v>
      </c>
      <c r="B38" s="2" t="s">
        <v>161</v>
      </c>
      <c r="C38" s="2" t="s">
        <v>162</v>
      </c>
      <c r="D38" s="3" t="s">
        <v>167</v>
      </c>
      <c r="E38" s="4" t="s">
        <v>13</v>
      </c>
      <c r="F38" s="3" t="s">
        <v>160</v>
      </c>
      <c r="G38" s="3" t="s">
        <v>168</v>
      </c>
      <c r="H38" s="3" t="s">
        <v>169</v>
      </c>
      <c r="I38" s="5" t="n">
        <v>1</v>
      </c>
    </row>
    <row r="39" customFormat="false" ht="35.05" hidden="false" customHeight="false" outlineLevel="0" collapsed="false">
      <c r="A39" s="2" t="s">
        <v>170</v>
      </c>
      <c r="B39" s="2" t="s">
        <v>161</v>
      </c>
      <c r="C39" s="2" t="s">
        <v>162</v>
      </c>
      <c r="D39" s="3" t="s">
        <v>171</v>
      </c>
      <c r="E39" s="4" t="s">
        <v>13</v>
      </c>
      <c r="F39" s="3" t="s">
        <v>43</v>
      </c>
      <c r="G39" s="3" t="s">
        <v>172</v>
      </c>
      <c r="H39" s="3" t="s">
        <v>173</v>
      </c>
      <c r="I39" s="5" t="n">
        <v>2</v>
      </c>
    </row>
    <row r="40" customFormat="false" ht="23.85" hidden="false" customHeight="false" outlineLevel="0" collapsed="false">
      <c r="A40" s="2" t="s">
        <v>174</v>
      </c>
      <c r="B40" s="2" t="s">
        <v>161</v>
      </c>
      <c r="C40" s="2" t="s">
        <v>162</v>
      </c>
      <c r="D40" s="3" t="s">
        <v>175</v>
      </c>
      <c r="E40" s="4" t="s">
        <v>13</v>
      </c>
      <c r="F40" s="3" t="s">
        <v>170</v>
      </c>
      <c r="G40" s="3" t="s">
        <v>176</v>
      </c>
      <c r="H40" s="3" t="s">
        <v>177</v>
      </c>
      <c r="I40" s="5" t="n">
        <v>1</v>
      </c>
    </row>
    <row r="41" customFormat="false" ht="23.85" hidden="false" customHeight="false" outlineLevel="0" collapsed="false">
      <c r="A41" s="2" t="s">
        <v>178</v>
      </c>
      <c r="B41" s="2" t="s">
        <v>161</v>
      </c>
      <c r="C41" s="2" t="s">
        <v>162</v>
      </c>
      <c r="D41" s="3" t="s">
        <v>179</v>
      </c>
      <c r="E41" s="4" t="s">
        <v>13</v>
      </c>
      <c r="F41" s="3" t="s">
        <v>170</v>
      </c>
      <c r="G41" s="3" t="s">
        <v>180</v>
      </c>
      <c r="H41" s="3" t="s">
        <v>181</v>
      </c>
      <c r="I41" s="5" t="n">
        <v>1</v>
      </c>
    </row>
    <row r="42" customFormat="false" ht="23.85" hidden="false" customHeight="false" outlineLevel="0" collapsed="false">
      <c r="A42" s="2" t="s">
        <v>182</v>
      </c>
      <c r="B42" s="2" t="s">
        <v>161</v>
      </c>
      <c r="C42" s="2" t="s">
        <v>162</v>
      </c>
      <c r="D42" s="3" t="s">
        <v>183</v>
      </c>
      <c r="E42" s="4" t="s">
        <v>13</v>
      </c>
      <c r="F42" s="3" t="s">
        <v>9</v>
      </c>
      <c r="G42" s="3" t="s">
        <v>184</v>
      </c>
      <c r="H42" s="3" t="s">
        <v>185</v>
      </c>
      <c r="I42" s="5" t="n">
        <v>2</v>
      </c>
    </row>
    <row r="43" customFormat="false" ht="15" hidden="false" customHeight="false" outlineLevel="0" collapsed="false">
      <c r="A43" s="2" t="s">
        <v>186</v>
      </c>
      <c r="B43" s="2" t="s">
        <v>161</v>
      </c>
      <c r="C43" s="2" t="s">
        <v>162</v>
      </c>
      <c r="D43" s="3" t="s">
        <v>187</v>
      </c>
      <c r="E43" s="4" t="s">
        <v>13</v>
      </c>
      <c r="F43" s="3" t="s">
        <v>182</v>
      </c>
      <c r="G43" s="3" t="s">
        <v>188</v>
      </c>
      <c r="H43" s="3" t="s">
        <v>189</v>
      </c>
      <c r="I43" s="5" t="n">
        <v>1</v>
      </c>
    </row>
    <row r="44" customFormat="false" ht="23.85" hidden="false" customHeight="false" outlineLevel="0" collapsed="false">
      <c r="A44" s="2" t="s">
        <v>190</v>
      </c>
      <c r="B44" s="2" t="s">
        <v>161</v>
      </c>
      <c r="C44" s="2" t="s">
        <v>162</v>
      </c>
      <c r="D44" s="3" t="s">
        <v>191</v>
      </c>
      <c r="E44" s="4" t="s">
        <v>13</v>
      </c>
      <c r="F44" s="3" t="s">
        <v>123</v>
      </c>
      <c r="G44" s="3" t="s">
        <v>192</v>
      </c>
      <c r="H44" s="3" t="s">
        <v>193</v>
      </c>
      <c r="I44" s="5" t="n">
        <v>2</v>
      </c>
    </row>
    <row r="45" customFormat="false" ht="23.85" hidden="false" customHeight="false" outlineLevel="0" collapsed="false">
      <c r="A45" s="2" t="s">
        <v>194</v>
      </c>
      <c r="B45" s="2" t="s">
        <v>161</v>
      </c>
      <c r="C45" s="2" t="s">
        <v>162</v>
      </c>
      <c r="D45" s="3" t="s">
        <v>195</v>
      </c>
      <c r="E45" s="4" t="s">
        <v>13</v>
      </c>
      <c r="F45" s="3" t="s">
        <v>196</v>
      </c>
      <c r="G45" s="3" t="s">
        <v>197</v>
      </c>
      <c r="H45" s="3" t="s">
        <v>198</v>
      </c>
      <c r="I45" s="5" t="n">
        <v>1</v>
      </c>
    </row>
    <row r="46" customFormat="false" ht="23.85" hidden="false" customHeight="false" outlineLevel="0" collapsed="false">
      <c r="A46" s="2" t="s">
        <v>199</v>
      </c>
      <c r="B46" s="2" t="s">
        <v>161</v>
      </c>
      <c r="C46" s="2" t="s">
        <v>162</v>
      </c>
      <c r="D46" s="3" t="s">
        <v>200</v>
      </c>
      <c r="E46" s="4" t="s">
        <v>13</v>
      </c>
      <c r="F46" s="3" t="s">
        <v>201</v>
      </c>
      <c r="G46" s="3" t="s">
        <v>202</v>
      </c>
      <c r="H46" s="3" t="s">
        <v>203</v>
      </c>
      <c r="I46" s="5" t="n">
        <v>2</v>
      </c>
    </row>
    <row r="47" customFormat="false" ht="23.85" hidden="false" customHeight="false" outlineLevel="0" collapsed="false">
      <c r="A47" s="2" t="s">
        <v>204</v>
      </c>
      <c r="B47" s="2" t="s">
        <v>161</v>
      </c>
      <c r="C47" s="2" t="s">
        <v>162</v>
      </c>
      <c r="D47" s="3" t="s">
        <v>205</v>
      </c>
      <c r="E47" s="4" t="s">
        <v>13</v>
      </c>
      <c r="F47" s="3" t="s">
        <v>199</v>
      </c>
      <c r="G47" s="3" t="s">
        <v>206</v>
      </c>
      <c r="H47" s="3" t="s">
        <v>207</v>
      </c>
      <c r="I47" s="5" t="n">
        <v>2</v>
      </c>
    </row>
    <row r="48" customFormat="false" ht="23.85" hidden="false" customHeight="false" outlineLevel="0" collapsed="false">
      <c r="A48" s="2" t="s">
        <v>208</v>
      </c>
      <c r="B48" s="2" t="s">
        <v>161</v>
      </c>
      <c r="C48" s="2" t="s">
        <v>162</v>
      </c>
      <c r="D48" s="3" t="s">
        <v>209</v>
      </c>
      <c r="E48" s="4" t="s">
        <v>13</v>
      </c>
      <c r="F48" s="3" t="s">
        <v>210</v>
      </c>
      <c r="G48" s="3" t="s">
        <v>211</v>
      </c>
      <c r="H48" s="3" t="s">
        <v>212</v>
      </c>
      <c r="I48" s="5" t="n">
        <v>2</v>
      </c>
    </row>
    <row r="49" customFormat="false" ht="23.85" hidden="false" customHeight="false" outlineLevel="0" collapsed="false">
      <c r="A49" s="2" t="s">
        <v>213</v>
      </c>
      <c r="B49" s="2" t="s">
        <v>161</v>
      </c>
      <c r="C49" s="2" t="s">
        <v>162</v>
      </c>
      <c r="D49" s="3" t="s">
        <v>214</v>
      </c>
      <c r="E49" s="4" t="s">
        <v>13</v>
      </c>
      <c r="F49" s="3" t="s">
        <v>208</v>
      </c>
      <c r="G49" s="3" t="s">
        <v>215</v>
      </c>
      <c r="H49" s="3" t="s">
        <v>216</v>
      </c>
      <c r="I49" s="5" t="n">
        <v>2</v>
      </c>
    </row>
    <row r="50" customFormat="false" ht="23.85" hidden="false" customHeight="false" outlineLevel="0" collapsed="false">
      <c r="A50" s="2" t="s">
        <v>217</v>
      </c>
      <c r="B50" s="2" t="s">
        <v>161</v>
      </c>
      <c r="C50" s="2" t="s">
        <v>162</v>
      </c>
      <c r="D50" s="3" t="s">
        <v>218</v>
      </c>
      <c r="E50" s="4" t="s">
        <v>13</v>
      </c>
      <c r="F50" s="3" t="s">
        <v>219</v>
      </c>
      <c r="G50" s="3" t="s">
        <v>220</v>
      </c>
      <c r="H50" s="3" t="s">
        <v>221</v>
      </c>
      <c r="I50" s="5" t="n">
        <v>2</v>
      </c>
    </row>
    <row r="51" customFormat="false" ht="23.85" hidden="false" customHeight="false" outlineLevel="0" collapsed="false">
      <c r="A51" s="2" t="s">
        <v>222</v>
      </c>
      <c r="B51" s="2" t="s">
        <v>161</v>
      </c>
      <c r="C51" s="2" t="s">
        <v>162</v>
      </c>
      <c r="D51" s="3" t="s">
        <v>223</v>
      </c>
      <c r="E51" s="4" t="s">
        <v>13</v>
      </c>
      <c r="F51" s="3" t="s">
        <v>224</v>
      </c>
      <c r="G51" s="3" t="s">
        <v>225</v>
      </c>
      <c r="H51" s="3" t="s">
        <v>226</v>
      </c>
      <c r="I51" s="5" t="n">
        <v>2</v>
      </c>
    </row>
    <row r="52" customFormat="false" ht="35.05" hidden="false" customHeight="false" outlineLevel="0" collapsed="false">
      <c r="A52" s="2" t="s">
        <v>227</v>
      </c>
      <c r="B52" s="2" t="s">
        <v>228</v>
      </c>
      <c r="C52" s="2" t="s">
        <v>229</v>
      </c>
      <c r="D52" s="3" t="s">
        <v>230</v>
      </c>
      <c r="E52" s="4" t="s">
        <v>13</v>
      </c>
      <c r="F52" s="3" t="s">
        <v>43</v>
      </c>
      <c r="G52" s="3" t="s">
        <v>231</v>
      </c>
      <c r="H52" s="3" t="s">
        <v>232</v>
      </c>
      <c r="I52" s="5" t="n">
        <v>2</v>
      </c>
    </row>
    <row r="53" customFormat="false" ht="23.85" hidden="false" customHeight="false" outlineLevel="0" collapsed="false">
      <c r="A53" s="2" t="s">
        <v>233</v>
      </c>
      <c r="B53" s="2" t="s">
        <v>228</v>
      </c>
      <c r="C53" s="2" t="s">
        <v>229</v>
      </c>
      <c r="D53" s="3" t="s">
        <v>234</v>
      </c>
      <c r="E53" s="4" t="s">
        <v>13</v>
      </c>
      <c r="F53" s="3" t="s">
        <v>227</v>
      </c>
      <c r="G53" s="3" t="s">
        <v>235</v>
      </c>
      <c r="H53" s="3" t="s">
        <v>236</v>
      </c>
      <c r="I53" s="5" t="n">
        <v>1</v>
      </c>
    </row>
    <row r="54" customFormat="false" ht="23.85" hidden="false" customHeight="false" outlineLevel="0" collapsed="false">
      <c r="A54" s="2" t="s">
        <v>237</v>
      </c>
      <c r="B54" s="2" t="s">
        <v>228</v>
      </c>
      <c r="C54" s="2" t="s">
        <v>229</v>
      </c>
      <c r="D54" s="3" t="s">
        <v>238</v>
      </c>
      <c r="E54" s="4" t="s">
        <v>13</v>
      </c>
      <c r="F54" s="3" t="s">
        <v>227</v>
      </c>
      <c r="G54" s="3" t="s">
        <v>239</v>
      </c>
      <c r="H54" s="3" t="s">
        <v>240</v>
      </c>
      <c r="I54" s="5" t="n">
        <v>1</v>
      </c>
    </row>
    <row r="55" customFormat="false" ht="23.85" hidden="false" customHeight="false" outlineLevel="0" collapsed="false">
      <c r="A55" s="2" t="s">
        <v>241</v>
      </c>
      <c r="B55" s="2" t="s">
        <v>228</v>
      </c>
      <c r="C55" s="2" t="s">
        <v>229</v>
      </c>
      <c r="D55" s="3" t="s">
        <v>242</v>
      </c>
      <c r="E55" s="4" t="s">
        <v>13</v>
      </c>
      <c r="F55" s="3" t="s">
        <v>243</v>
      </c>
      <c r="G55" s="3" t="s">
        <v>244</v>
      </c>
      <c r="H55" s="3" t="s">
        <v>245</v>
      </c>
      <c r="I55" s="5" t="n">
        <v>2</v>
      </c>
    </row>
    <row r="56" customFormat="false" ht="23.85" hidden="false" customHeight="false" outlineLevel="0" collapsed="false">
      <c r="A56" s="2" t="s">
        <v>246</v>
      </c>
      <c r="B56" s="2" t="s">
        <v>228</v>
      </c>
      <c r="C56" s="2" t="s">
        <v>229</v>
      </c>
      <c r="D56" s="3" t="s">
        <v>247</v>
      </c>
      <c r="E56" s="4" t="s">
        <v>13</v>
      </c>
      <c r="F56" s="3" t="s">
        <v>241</v>
      </c>
      <c r="G56" s="3" t="s">
        <v>248</v>
      </c>
      <c r="H56" s="3" t="s">
        <v>249</v>
      </c>
      <c r="I56" s="5" t="n">
        <v>2</v>
      </c>
    </row>
    <row r="57" customFormat="false" ht="23.85" hidden="false" customHeight="false" outlineLevel="0" collapsed="false">
      <c r="A57" s="2" t="s">
        <v>250</v>
      </c>
      <c r="B57" s="2" t="s">
        <v>228</v>
      </c>
      <c r="C57" s="2" t="s">
        <v>229</v>
      </c>
      <c r="D57" s="3" t="s">
        <v>251</v>
      </c>
      <c r="E57" s="6" t="s">
        <v>31</v>
      </c>
      <c r="F57" s="3" t="s">
        <v>241</v>
      </c>
      <c r="G57" s="3" t="s">
        <v>252</v>
      </c>
      <c r="H57" s="3" t="s">
        <v>253</v>
      </c>
      <c r="I57" s="5" t="n">
        <v>1</v>
      </c>
    </row>
    <row r="58" customFormat="false" ht="23.85" hidden="false" customHeight="false" outlineLevel="0" collapsed="false">
      <c r="A58" s="2" t="s">
        <v>254</v>
      </c>
      <c r="B58" s="2" t="s">
        <v>228</v>
      </c>
      <c r="C58" s="2" t="s">
        <v>229</v>
      </c>
      <c r="D58" s="3" t="s">
        <v>255</v>
      </c>
      <c r="E58" s="6" t="s">
        <v>31</v>
      </c>
      <c r="F58" s="3" t="s">
        <v>246</v>
      </c>
      <c r="G58" s="3" t="s">
        <v>256</v>
      </c>
      <c r="H58" s="3" t="s">
        <v>257</v>
      </c>
      <c r="I58" s="5" t="n">
        <v>2</v>
      </c>
    </row>
    <row r="59" customFormat="false" ht="23.85" hidden="false" customHeight="false" outlineLevel="0" collapsed="false">
      <c r="A59" s="2" t="s">
        <v>258</v>
      </c>
      <c r="B59" s="2" t="s">
        <v>228</v>
      </c>
      <c r="C59" s="2" t="s">
        <v>229</v>
      </c>
      <c r="D59" s="3" t="s">
        <v>259</v>
      </c>
      <c r="E59" s="4" t="s">
        <v>13</v>
      </c>
      <c r="F59" s="3" t="s">
        <v>254</v>
      </c>
      <c r="G59" s="3" t="s">
        <v>260</v>
      </c>
      <c r="H59" s="3" t="s">
        <v>261</v>
      </c>
      <c r="I59" s="5" t="n">
        <v>2</v>
      </c>
    </row>
    <row r="60" customFormat="false" ht="23.85" hidden="false" customHeight="false" outlineLevel="0" collapsed="false">
      <c r="A60" s="2" t="s">
        <v>262</v>
      </c>
      <c r="B60" s="2" t="s">
        <v>228</v>
      </c>
      <c r="C60" s="2" t="s">
        <v>229</v>
      </c>
      <c r="D60" s="3" t="s">
        <v>263</v>
      </c>
      <c r="E60" s="6" t="s">
        <v>31</v>
      </c>
      <c r="F60" s="3" t="s">
        <v>264</v>
      </c>
      <c r="G60" s="3" t="s">
        <v>265</v>
      </c>
      <c r="H60" s="3" t="s">
        <v>266</v>
      </c>
      <c r="I60" s="5" t="n">
        <v>2</v>
      </c>
    </row>
    <row r="61" customFormat="false" ht="23.85" hidden="false" customHeight="false" outlineLevel="0" collapsed="false">
      <c r="A61" s="2" t="s">
        <v>267</v>
      </c>
      <c r="B61" s="2" t="s">
        <v>228</v>
      </c>
      <c r="C61" s="2" t="s">
        <v>229</v>
      </c>
      <c r="D61" s="3" t="s">
        <v>268</v>
      </c>
      <c r="E61" s="4" t="s">
        <v>13</v>
      </c>
      <c r="F61" s="3" t="s">
        <v>217</v>
      </c>
      <c r="G61" s="3" t="s">
        <v>269</v>
      </c>
      <c r="H61" s="3" t="s">
        <v>270</v>
      </c>
      <c r="I61" s="5" t="n">
        <v>1</v>
      </c>
    </row>
    <row r="62" customFormat="false" ht="23.85" hidden="false" customHeight="false" outlineLevel="0" collapsed="false">
      <c r="A62" s="2" t="s">
        <v>271</v>
      </c>
      <c r="B62" s="2" t="s">
        <v>228</v>
      </c>
      <c r="C62" s="2" t="s">
        <v>229</v>
      </c>
      <c r="D62" s="3" t="s">
        <v>272</v>
      </c>
      <c r="E62" s="6" t="s">
        <v>31</v>
      </c>
      <c r="F62" s="3" t="s">
        <v>267</v>
      </c>
      <c r="G62" s="3" t="s">
        <v>273</v>
      </c>
      <c r="H62" s="3" t="s">
        <v>274</v>
      </c>
      <c r="I62" s="5" t="n">
        <v>2</v>
      </c>
    </row>
    <row r="63" customFormat="false" ht="23.85" hidden="false" customHeight="false" outlineLevel="0" collapsed="false">
      <c r="A63" s="2" t="s">
        <v>275</v>
      </c>
      <c r="B63" s="2" t="s">
        <v>228</v>
      </c>
      <c r="C63" s="2" t="s">
        <v>229</v>
      </c>
      <c r="D63" s="3" t="s">
        <v>276</v>
      </c>
      <c r="E63" s="6" t="s">
        <v>31</v>
      </c>
      <c r="F63" s="3" t="s">
        <v>277</v>
      </c>
      <c r="G63" s="3" t="s">
        <v>278</v>
      </c>
      <c r="H63" s="3" t="s">
        <v>279</v>
      </c>
      <c r="I63" s="5" t="n">
        <v>2</v>
      </c>
    </row>
    <row r="64" customFormat="false" ht="23.85" hidden="false" customHeight="false" outlineLevel="0" collapsed="false">
      <c r="A64" s="2" t="s">
        <v>280</v>
      </c>
      <c r="B64" s="2" t="s">
        <v>228</v>
      </c>
      <c r="C64" s="2" t="s">
        <v>229</v>
      </c>
      <c r="D64" s="3" t="s">
        <v>281</v>
      </c>
      <c r="E64" s="6" t="s">
        <v>31</v>
      </c>
      <c r="F64" s="3" t="s">
        <v>282</v>
      </c>
      <c r="G64" s="3" t="s">
        <v>283</v>
      </c>
      <c r="H64" s="3" t="s">
        <v>284</v>
      </c>
      <c r="I64" s="5" t="n">
        <v>2</v>
      </c>
    </row>
    <row r="65" customFormat="false" ht="23.85" hidden="false" customHeight="false" outlineLevel="0" collapsed="false">
      <c r="A65" s="2" t="s">
        <v>285</v>
      </c>
      <c r="B65" s="2" t="s">
        <v>228</v>
      </c>
      <c r="C65" s="2" t="s">
        <v>229</v>
      </c>
      <c r="D65" s="3" t="s">
        <v>286</v>
      </c>
      <c r="E65" s="7" t="s">
        <v>73</v>
      </c>
      <c r="F65" s="3" t="s">
        <v>275</v>
      </c>
      <c r="G65" s="3" t="s">
        <v>287</v>
      </c>
      <c r="H65" s="3" t="s">
        <v>288</v>
      </c>
      <c r="I65" s="5" t="n">
        <v>1</v>
      </c>
    </row>
    <row r="66" customFormat="false" ht="23.85" hidden="false" customHeight="false" outlineLevel="0" collapsed="false">
      <c r="A66" s="2" t="s">
        <v>289</v>
      </c>
      <c r="B66" s="2" t="s">
        <v>228</v>
      </c>
      <c r="C66" s="2" t="s">
        <v>229</v>
      </c>
      <c r="D66" s="3" t="s">
        <v>290</v>
      </c>
      <c r="E66" s="4" t="s">
        <v>13</v>
      </c>
      <c r="F66" s="3" t="s">
        <v>267</v>
      </c>
      <c r="G66" s="3" t="s">
        <v>291</v>
      </c>
      <c r="H66" s="3" t="s">
        <v>292</v>
      </c>
      <c r="I66" s="5" t="n">
        <v>1</v>
      </c>
    </row>
    <row r="67" customFormat="false" ht="23.85" hidden="false" customHeight="false" outlineLevel="0" collapsed="false">
      <c r="A67" s="2" t="s">
        <v>293</v>
      </c>
      <c r="B67" s="2" t="s">
        <v>294</v>
      </c>
      <c r="C67" s="2" t="s">
        <v>295</v>
      </c>
      <c r="D67" s="3" t="s">
        <v>296</v>
      </c>
      <c r="E67" s="4" t="s">
        <v>13</v>
      </c>
      <c r="F67" s="3" t="s">
        <v>43</v>
      </c>
      <c r="G67" s="3" t="s">
        <v>297</v>
      </c>
      <c r="H67" s="3" t="s">
        <v>298</v>
      </c>
      <c r="I67" s="5" t="n">
        <v>2</v>
      </c>
    </row>
    <row r="68" customFormat="false" ht="23.85" hidden="false" customHeight="false" outlineLevel="0" collapsed="false">
      <c r="A68" s="2" t="s">
        <v>299</v>
      </c>
      <c r="B68" s="2" t="s">
        <v>294</v>
      </c>
      <c r="C68" s="2" t="s">
        <v>295</v>
      </c>
      <c r="D68" s="3" t="s">
        <v>300</v>
      </c>
      <c r="E68" s="4" t="s">
        <v>13</v>
      </c>
      <c r="F68" s="3" t="s">
        <v>293</v>
      </c>
      <c r="G68" s="3" t="s">
        <v>301</v>
      </c>
      <c r="H68" s="3" t="s">
        <v>302</v>
      </c>
      <c r="I68" s="5" t="n">
        <v>1</v>
      </c>
    </row>
    <row r="69" customFormat="false" ht="23.85" hidden="false" customHeight="false" outlineLevel="0" collapsed="false">
      <c r="A69" s="2" t="s">
        <v>303</v>
      </c>
      <c r="B69" s="2" t="s">
        <v>294</v>
      </c>
      <c r="C69" s="2" t="s">
        <v>295</v>
      </c>
      <c r="D69" s="3" t="s">
        <v>304</v>
      </c>
      <c r="E69" s="4" t="s">
        <v>13</v>
      </c>
      <c r="F69" s="3" t="s">
        <v>293</v>
      </c>
      <c r="G69" s="3" t="s">
        <v>305</v>
      </c>
      <c r="H69" s="3" t="s">
        <v>306</v>
      </c>
      <c r="I69" s="5" t="n">
        <v>1</v>
      </c>
    </row>
    <row r="70" customFormat="false" ht="23.85" hidden="false" customHeight="false" outlineLevel="0" collapsed="false">
      <c r="A70" s="2" t="s">
        <v>307</v>
      </c>
      <c r="B70" s="2" t="s">
        <v>294</v>
      </c>
      <c r="C70" s="2" t="s">
        <v>295</v>
      </c>
      <c r="D70" s="3" t="s">
        <v>308</v>
      </c>
      <c r="E70" s="4" t="s">
        <v>13</v>
      </c>
      <c r="F70" s="3" t="s">
        <v>309</v>
      </c>
      <c r="G70" s="3" t="s">
        <v>310</v>
      </c>
      <c r="H70" s="3" t="s">
        <v>311</v>
      </c>
      <c r="I70" s="5" t="n">
        <v>2</v>
      </c>
    </row>
    <row r="71" customFormat="false" ht="23.85" hidden="false" customHeight="false" outlineLevel="0" collapsed="false">
      <c r="A71" s="2" t="s">
        <v>312</v>
      </c>
      <c r="B71" s="2" t="s">
        <v>294</v>
      </c>
      <c r="C71" s="2" t="s">
        <v>295</v>
      </c>
      <c r="D71" s="3" t="s">
        <v>313</v>
      </c>
      <c r="E71" s="4" t="s">
        <v>13</v>
      </c>
      <c r="F71" s="3" t="s">
        <v>307</v>
      </c>
      <c r="G71" s="3" t="s">
        <v>314</v>
      </c>
      <c r="H71" s="3" t="s">
        <v>315</v>
      </c>
      <c r="I71" s="5" t="n">
        <v>2</v>
      </c>
    </row>
    <row r="72" customFormat="false" ht="23.85" hidden="false" customHeight="false" outlineLevel="0" collapsed="false">
      <c r="A72" s="2" t="s">
        <v>316</v>
      </c>
      <c r="B72" s="2" t="s">
        <v>294</v>
      </c>
      <c r="C72" s="2" t="s">
        <v>295</v>
      </c>
      <c r="D72" s="3" t="s">
        <v>317</v>
      </c>
      <c r="E72" s="6" t="s">
        <v>31</v>
      </c>
      <c r="F72" s="3" t="s">
        <v>312</v>
      </c>
      <c r="G72" s="3" t="s">
        <v>318</v>
      </c>
      <c r="H72" s="3" t="s">
        <v>319</v>
      </c>
      <c r="I72" s="5" t="n">
        <v>1</v>
      </c>
    </row>
    <row r="73" customFormat="false" ht="23.85" hidden="false" customHeight="false" outlineLevel="0" collapsed="false">
      <c r="A73" s="2" t="s">
        <v>320</v>
      </c>
      <c r="B73" s="2" t="s">
        <v>294</v>
      </c>
      <c r="C73" s="2" t="s">
        <v>295</v>
      </c>
      <c r="D73" s="3" t="s">
        <v>321</v>
      </c>
      <c r="E73" s="4" t="s">
        <v>13</v>
      </c>
      <c r="F73" s="3" t="s">
        <v>312</v>
      </c>
      <c r="G73" s="3" t="s">
        <v>322</v>
      </c>
      <c r="H73" s="3" t="s">
        <v>323</v>
      </c>
      <c r="I73" s="5" t="n">
        <v>2</v>
      </c>
    </row>
    <row r="74" customFormat="false" ht="23.85" hidden="false" customHeight="false" outlineLevel="0" collapsed="false">
      <c r="A74" s="2" t="s">
        <v>324</v>
      </c>
      <c r="B74" s="2" t="s">
        <v>294</v>
      </c>
      <c r="C74" s="2" t="s">
        <v>295</v>
      </c>
      <c r="D74" s="3" t="s">
        <v>325</v>
      </c>
      <c r="E74" s="4" t="s">
        <v>13</v>
      </c>
      <c r="F74" s="3" t="s">
        <v>320</v>
      </c>
      <c r="G74" s="3" t="s">
        <v>326</v>
      </c>
      <c r="H74" s="3" t="s">
        <v>327</v>
      </c>
      <c r="I74" s="5" t="n">
        <v>2</v>
      </c>
    </row>
    <row r="75" customFormat="false" ht="23.85" hidden="false" customHeight="false" outlineLevel="0" collapsed="false">
      <c r="A75" s="2" t="s">
        <v>328</v>
      </c>
      <c r="B75" s="2" t="s">
        <v>294</v>
      </c>
      <c r="C75" s="2" t="s">
        <v>295</v>
      </c>
      <c r="D75" s="3" t="s">
        <v>329</v>
      </c>
      <c r="E75" s="6" t="s">
        <v>31</v>
      </c>
      <c r="F75" s="3" t="s">
        <v>320</v>
      </c>
      <c r="G75" s="3" t="s">
        <v>330</v>
      </c>
      <c r="H75" s="3" t="s">
        <v>331</v>
      </c>
      <c r="I75" s="5" t="n">
        <v>1</v>
      </c>
    </row>
    <row r="76" customFormat="false" ht="23.85" hidden="false" customHeight="false" outlineLevel="0" collapsed="false">
      <c r="A76" s="2" t="s">
        <v>332</v>
      </c>
      <c r="B76" s="2" t="s">
        <v>294</v>
      </c>
      <c r="C76" s="2" t="s">
        <v>295</v>
      </c>
      <c r="D76" s="3" t="s">
        <v>333</v>
      </c>
      <c r="E76" s="4" t="s">
        <v>13</v>
      </c>
      <c r="F76" s="3" t="s">
        <v>312</v>
      </c>
      <c r="G76" s="3" t="s">
        <v>334</v>
      </c>
      <c r="H76" s="3" t="s">
        <v>335</v>
      </c>
      <c r="I76" s="5" t="n">
        <v>1</v>
      </c>
    </row>
    <row r="77" customFormat="false" ht="23.85" hidden="false" customHeight="false" outlineLevel="0" collapsed="false">
      <c r="A77" s="2" t="s">
        <v>336</v>
      </c>
      <c r="B77" s="2" t="s">
        <v>294</v>
      </c>
      <c r="C77" s="2" t="s">
        <v>295</v>
      </c>
      <c r="D77" s="3" t="s">
        <v>337</v>
      </c>
      <c r="E77" s="4" t="s">
        <v>13</v>
      </c>
      <c r="F77" s="3" t="s">
        <v>338</v>
      </c>
      <c r="G77" s="3" t="s">
        <v>339</v>
      </c>
      <c r="H77" s="3" t="s">
        <v>340</v>
      </c>
      <c r="I77" s="5" t="n">
        <v>2</v>
      </c>
    </row>
    <row r="78" customFormat="false" ht="23.85" hidden="false" customHeight="false" outlineLevel="0" collapsed="false">
      <c r="A78" s="2" t="s">
        <v>341</v>
      </c>
      <c r="B78" s="2" t="s">
        <v>294</v>
      </c>
      <c r="C78" s="2" t="s">
        <v>295</v>
      </c>
      <c r="D78" s="3" t="s">
        <v>342</v>
      </c>
      <c r="E78" s="4" t="s">
        <v>13</v>
      </c>
      <c r="F78" s="3" t="s">
        <v>332</v>
      </c>
      <c r="G78" s="3" t="s">
        <v>343</v>
      </c>
      <c r="H78" s="3" t="s">
        <v>344</v>
      </c>
      <c r="I78" s="5" t="n">
        <v>1</v>
      </c>
    </row>
    <row r="79" customFormat="false" ht="23.85" hidden="false" customHeight="false" outlineLevel="0" collapsed="false">
      <c r="A79" s="2" t="s">
        <v>345</v>
      </c>
      <c r="B79" s="2" t="s">
        <v>294</v>
      </c>
      <c r="C79" s="2" t="s">
        <v>295</v>
      </c>
      <c r="D79" s="3" t="s">
        <v>346</v>
      </c>
      <c r="E79" s="6" t="s">
        <v>31</v>
      </c>
      <c r="F79" s="3" t="s">
        <v>347</v>
      </c>
      <c r="G79" s="3" t="s">
        <v>348</v>
      </c>
      <c r="H79" s="3" t="s">
        <v>349</v>
      </c>
      <c r="I79" s="5" t="n">
        <v>2</v>
      </c>
    </row>
    <row r="80" customFormat="false" ht="15" hidden="false" customHeight="false" outlineLevel="0" collapsed="false">
      <c r="A80" s="2" t="s">
        <v>350</v>
      </c>
      <c r="B80" s="2" t="s">
        <v>294</v>
      </c>
      <c r="C80" s="2" t="s">
        <v>295</v>
      </c>
      <c r="D80" s="3" t="s">
        <v>351</v>
      </c>
      <c r="E80" s="7" t="s">
        <v>73</v>
      </c>
      <c r="F80" s="3" t="s">
        <v>336</v>
      </c>
      <c r="G80" s="3" t="s">
        <v>352</v>
      </c>
      <c r="H80" s="3" t="s">
        <v>288</v>
      </c>
      <c r="I80" s="5" t="n">
        <v>1</v>
      </c>
    </row>
    <row r="81" customFormat="false" ht="23.85" hidden="false" customHeight="false" outlineLevel="0" collapsed="false">
      <c r="A81" s="2" t="s">
        <v>353</v>
      </c>
      <c r="B81" s="2" t="s">
        <v>294</v>
      </c>
      <c r="C81" s="2" t="s">
        <v>295</v>
      </c>
      <c r="D81" s="3" t="s">
        <v>354</v>
      </c>
      <c r="E81" s="7" t="s">
        <v>73</v>
      </c>
      <c r="F81" s="3" t="s">
        <v>316</v>
      </c>
      <c r="G81" s="3" t="s">
        <v>355</v>
      </c>
      <c r="H81" s="3" t="s">
        <v>356</v>
      </c>
      <c r="I81" s="5" t="n">
        <v>2</v>
      </c>
    </row>
    <row r="82" customFormat="false" ht="23.85" hidden="false" customHeight="false" outlineLevel="0" collapsed="false">
      <c r="A82" s="2" t="s">
        <v>357</v>
      </c>
      <c r="B82" s="2" t="s">
        <v>358</v>
      </c>
      <c r="C82" s="2" t="s">
        <v>359</v>
      </c>
      <c r="D82" s="3" t="s">
        <v>360</v>
      </c>
      <c r="E82" s="4" t="s">
        <v>13</v>
      </c>
      <c r="F82" s="3" t="s">
        <v>43</v>
      </c>
      <c r="G82" s="3" t="s">
        <v>361</v>
      </c>
      <c r="H82" s="3" t="s">
        <v>362</v>
      </c>
      <c r="I82" s="5" t="n">
        <v>1</v>
      </c>
    </row>
    <row r="83" customFormat="false" ht="23.85" hidden="false" customHeight="false" outlineLevel="0" collapsed="false">
      <c r="A83" s="2" t="s">
        <v>363</v>
      </c>
      <c r="B83" s="2" t="s">
        <v>358</v>
      </c>
      <c r="C83" s="2" t="s">
        <v>359</v>
      </c>
      <c r="D83" s="3" t="s">
        <v>364</v>
      </c>
      <c r="E83" s="4" t="s">
        <v>13</v>
      </c>
      <c r="F83" s="3" t="s">
        <v>365</v>
      </c>
      <c r="G83" s="3" t="s">
        <v>366</v>
      </c>
      <c r="H83" s="3" t="s">
        <v>367</v>
      </c>
      <c r="I83" s="5" t="n">
        <v>2</v>
      </c>
    </row>
    <row r="84" customFormat="false" ht="23.85" hidden="false" customHeight="false" outlineLevel="0" collapsed="false">
      <c r="A84" s="2" t="s">
        <v>368</v>
      </c>
      <c r="B84" s="2" t="s">
        <v>358</v>
      </c>
      <c r="C84" s="2" t="s">
        <v>359</v>
      </c>
      <c r="D84" s="3" t="s">
        <v>369</v>
      </c>
      <c r="E84" s="4" t="s">
        <v>13</v>
      </c>
      <c r="F84" s="3" t="s">
        <v>363</v>
      </c>
      <c r="G84" s="3" t="s">
        <v>370</v>
      </c>
      <c r="H84" s="3" t="s">
        <v>371</v>
      </c>
      <c r="I84" s="5" t="n">
        <v>2</v>
      </c>
    </row>
    <row r="85" customFormat="false" ht="23.85" hidden="false" customHeight="false" outlineLevel="0" collapsed="false">
      <c r="A85" s="2" t="s">
        <v>372</v>
      </c>
      <c r="B85" s="2" t="s">
        <v>358</v>
      </c>
      <c r="C85" s="2" t="s">
        <v>359</v>
      </c>
      <c r="D85" s="3" t="s">
        <v>373</v>
      </c>
      <c r="E85" s="4" t="s">
        <v>13</v>
      </c>
      <c r="F85" s="3" t="s">
        <v>368</v>
      </c>
      <c r="G85" s="3" t="s">
        <v>374</v>
      </c>
      <c r="H85" s="3" t="s">
        <v>375</v>
      </c>
      <c r="I85" s="5" t="n">
        <v>1</v>
      </c>
    </row>
    <row r="86" customFormat="false" ht="23.85" hidden="false" customHeight="false" outlineLevel="0" collapsed="false">
      <c r="A86" s="2" t="s">
        <v>376</v>
      </c>
      <c r="B86" s="2" t="s">
        <v>358</v>
      </c>
      <c r="C86" s="2" t="s">
        <v>359</v>
      </c>
      <c r="D86" s="3" t="s">
        <v>377</v>
      </c>
      <c r="E86" s="4" t="s">
        <v>13</v>
      </c>
      <c r="F86" s="3" t="s">
        <v>363</v>
      </c>
      <c r="G86" s="3" t="s">
        <v>378</v>
      </c>
      <c r="H86" s="3" t="s">
        <v>379</v>
      </c>
      <c r="I86" s="5" t="n">
        <v>1</v>
      </c>
    </row>
    <row r="87" customFormat="false" ht="15" hidden="false" customHeight="false" outlineLevel="0" collapsed="false">
      <c r="A87" s="2" t="s">
        <v>380</v>
      </c>
      <c r="B87" s="2" t="s">
        <v>358</v>
      </c>
      <c r="C87" s="2" t="s">
        <v>359</v>
      </c>
      <c r="D87" s="3" t="s">
        <v>381</v>
      </c>
      <c r="E87" s="4" t="s">
        <v>13</v>
      </c>
      <c r="F87" s="3" t="s">
        <v>382</v>
      </c>
      <c r="G87" s="3" t="s">
        <v>383</v>
      </c>
      <c r="H87" s="3" t="s">
        <v>384</v>
      </c>
      <c r="I87" s="5" t="n">
        <v>1</v>
      </c>
    </row>
    <row r="88" customFormat="false" ht="23.85" hidden="false" customHeight="false" outlineLevel="0" collapsed="false">
      <c r="A88" s="2" t="s">
        <v>385</v>
      </c>
      <c r="B88" s="2" t="s">
        <v>358</v>
      </c>
      <c r="C88" s="2" t="s">
        <v>359</v>
      </c>
      <c r="D88" s="3" t="s">
        <v>386</v>
      </c>
      <c r="E88" s="6" t="s">
        <v>31</v>
      </c>
      <c r="F88" s="3" t="s">
        <v>372</v>
      </c>
      <c r="G88" s="3" t="s">
        <v>387</v>
      </c>
      <c r="H88" s="3" t="s">
        <v>388</v>
      </c>
      <c r="I88" s="5" t="n">
        <v>1</v>
      </c>
    </row>
    <row r="89" customFormat="false" ht="23.85" hidden="false" customHeight="false" outlineLevel="0" collapsed="false">
      <c r="A89" s="2" t="s">
        <v>389</v>
      </c>
      <c r="B89" s="2" t="s">
        <v>358</v>
      </c>
      <c r="C89" s="2" t="s">
        <v>359</v>
      </c>
      <c r="D89" s="3" t="s">
        <v>390</v>
      </c>
      <c r="E89" s="6" t="s">
        <v>31</v>
      </c>
      <c r="F89" s="3" t="s">
        <v>372</v>
      </c>
      <c r="G89" s="3" t="s">
        <v>391</v>
      </c>
      <c r="H89" s="3" t="s">
        <v>392</v>
      </c>
      <c r="I89" s="5" t="n">
        <v>2</v>
      </c>
    </row>
    <row r="90" customFormat="false" ht="23.85" hidden="false" customHeight="false" outlineLevel="0" collapsed="false">
      <c r="A90" s="2" t="s">
        <v>393</v>
      </c>
      <c r="B90" s="2" t="s">
        <v>394</v>
      </c>
      <c r="C90" s="2" t="s">
        <v>395</v>
      </c>
      <c r="D90" s="3" t="s">
        <v>396</v>
      </c>
      <c r="E90" s="4" t="s">
        <v>13</v>
      </c>
      <c r="F90" s="3" t="s">
        <v>43</v>
      </c>
      <c r="G90" s="3" t="s">
        <v>397</v>
      </c>
      <c r="H90" s="3" t="s">
        <v>398</v>
      </c>
      <c r="I90" s="5" t="n">
        <v>2</v>
      </c>
    </row>
    <row r="91" customFormat="false" ht="23.85" hidden="false" customHeight="false" outlineLevel="0" collapsed="false">
      <c r="A91" s="2" t="s">
        <v>399</v>
      </c>
      <c r="B91" s="2" t="s">
        <v>394</v>
      </c>
      <c r="C91" s="2" t="s">
        <v>395</v>
      </c>
      <c r="D91" s="3" t="s">
        <v>400</v>
      </c>
      <c r="E91" s="4" t="s">
        <v>13</v>
      </c>
      <c r="F91" s="3" t="s">
        <v>393</v>
      </c>
      <c r="G91" s="3" t="s">
        <v>401</v>
      </c>
      <c r="H91" s="3" t="s">
        <v>402</v>
      </c>
      <c r="I91" s="5" t="n">
        <v>1</v>
      </c>
    </row>
    <row r="92" customFormat="false" ht="23.85" hidden="false" customHeight="false" outlineLevel="0" collapsed="false">
      <c r="A92" s="2" t="s">
        <v>403</v>
      </c>
      <c r="B92" s="2" t="s">
        <v>394</v>
      </c>
      <c r="C92" s="2" t="s">
        <v>395</v>
      </c>
      <c r="D92" s="3" t="s">
        <v>404</v>
      </c>
      <c r="E92" s="4" t="s">
        <v>13</v>
      </c>
      <c r="F92" s="3" t="s">
        <v>405</v>
      </c>
      <c r="G92" s="3" t="s">
        <v>406</v>
      </c>
      <c r="H92" s="3" t="s">
        <v>407</v>
      </c>
      <c r="I92" s="5" t="n">
        <v>2</v>
      </c>
    </row>
    <row r="93" customFormat="false" ht="23.85" hidden="false" customHeight="false" outlineLevel="0" collapsed="false">
      <c r="A93" s="2" t="s">
        <v>408</v>
      </c>
      <c r="B93" s="2" t="s">
        <v>394</v>
      </c>
      <c r="C93" s="2" t="s">
        <v>395</v>
      </c>
      <c r="D93" s="3" t="s">
        <v>409</v>
      </c>
      <c r="E93" s="6" t="s">
        <v>31</v>
      </c>
      <c r="F93" s="3" t="s">
        <v>403</v>
      </c>
      <c r="G93" s="3" t="s">
        <v>410</v>
      </c>
      <c r="H93" s="3" t="s">
        <v>411</v>
      </c>
      <c r="I93" s="5" t="n">
        <v>1</v>
      </c>
    </row>
    <row r="94" customFormat="false" ht="23.85" hidden="false" customHeight="false" outlineLevel="0" collapsed="false">
      <c r="A94" s="2" t="s">
        <v>412</v>
      </c>
      <c r="B94" s="2" t="s">
        <v>394</v>
      </c>
      <c r="C94" s="2" t="s">
        <v>395</v>
      </c>
      <c r="D94" s="3" t="s">
        <v>413</v>
      </c>
      <c r="E94" s="4" t="s">
        <v>13</v>
      </c>
      <c r="F94" s="3" t="s">
        <v>403</v>
      </c>
      <c r="G94" s="3" t="s">
        <v>414</v>
      </c>
      <c r="H94" s="3" t="s">
        <v>415</v>
      </c>
      <c r="I94" s="5" t="n">
        <v>2</v>
      </c>
    </row>
    <row r="95" customFormat="false" ht="23.85" hidden="false" customHeight="false" outlineLevel="0" collapsed="false">
      <c r="A95" s="2" t="s">
        <v>416</v>
      </c>
      <c r="B95" s="2" t="s">
        <v>394</v>
      </c>
      <c r="C95" s="2" t="s">
        <v>395</v>
      </c>
      <c r="D95" s="3" t="s">
        <v>417</v>
      </c>
      <c r="E95" s="6" t="s">
        <v>31</v>
      </c>
      <c r="F95" s="3" t="s">
        <v>418</v>
      </c>
      <c r="G95" s="3" t="s">
        <v>419</v>
      </c>
      <c r="H95" s="3" t="s">
        <v>420</v>
      </c>
      <c r="I95" s="5" t="n">
        <v>2</v>
      </c>
    </row>
    <row r="96" customFormat="false" ht="23.85" hidden="false" customHeight="false" outlineLevel="0" collapsed="false">
      <c r="A96" s="2" t="s">
        <v>421</v>
      </c>
      <c r="B96" s="2" t="s">
        <v>394</v>
      </c>
      <c r="C96" s="2" t="s">
        <v>395</v>
      </c>
      <c r="D96" s="3" t="s">
        <v>422</v>
      </c>
      <c r="E96" s="6" t="s">
        <v>31</v>
      </c>
      <c r="F96" s="3" t="s">
        <v>416</v>
      </c>
      <c r="G96" s="3" t="s">
        <v>423</v>
      </c>
      <c r="H96" s="3" t="s">
        <v>424</v>
      </c>
      <c r="I96" s="5" t="n">
        <v>2</v>
      </c>
    </row>
    <row r="97" customFormat="false" ht="23.85" hidden="false" customHeight="false" outlineLevel="0" collapsed="false">
      <c r="A97" s="2" t="s">
        <v>425</v>
      </c>
      <c r="B97" s="2" t="s">
        <v>394</v>
      </c>
      <c r="C97" s="2" t="s">
        <v>395</v>
      </c>
      <c r="D97" s="3" t="s">
        <v>426</v>
      </c>
      <c r="E97" s="6" t="s">
        <v>31</v>
      </c>
      <c r="F97" s="3" t="s">
        <v>408</v>
      </c>
      <c r="G97" s="3" t="s">
        <v>427</v>
      </c>
      <c r="H97" s="3" t="s">
        <v>428</v>
      </c>
      <c r="I97" s="5" t="n">
        <v>1</v>
      </c>
    </row>
    <row r="98" customFormat="false" ht="23.85" hidden="false" customHeight="false" outlineLevel="0" collapsed="false">
      <c r="A98" s="2" t="s">
        <v>429</v>
      </c>
      <c r="B98" s="2" t="s">
        <v>394</v>
      </c>
      <c r="C98" s="2" t="s">
        <v>395</v>
      </c>
      <c r="D98" s="3" t="s">
        <v>430</v>
      </c>
      <c r="E98" s="7" t="s">
        <v>73</v>
      </c>
      <c r="F98" s="3" t="s">
        <v>425</v>
      </c>
      <c r="G98" s="3" t="s">
        <v>431</v>
      </c>
      <c r="H98" s="3" t="s">
        <v>432</v>
      </c>
      <c r="I98" s="5" t="n">
        <v>2</v>
      </c>
    </row>
    <row r="99" customFormat="false" ht="23.85" hidden="false" customHeight="false" outlineLevel="0" collapsed="false">
      <c r="A99" s="2" t="s">
        <v>433</v>
      </c>
      <c r="B99" s="2" t="s">
        <v>394</v>
      </c>
      <c r="C99" s="2" t="s">
        <v>395</v>
      </c>
      <c r="D99" s="3" t="s">
        <v>434</v>
      </c>
      <c r="E99" s="6" t="s">
        <v>31</v>
      </c>
      <c r="F99" s="3" t="s">
        <v>403</v>
      </c>
      <c r="G99" s="3" t="s">
        <v>435</v>
      </c>
      <c r="H99" s="3" t="s">
        <v>436</v>
      </c>
      <c r="I99" s="5" t="n">
        <v>1</v>
      </c>
    </row>
    <row r="100" customFormat="false" ht="23.85" hidden="false" customHeight="false" outlineLevel="0" collapsed="false">
      <c r="A100" s="2" t="s">
        <v>437</v>
      </c>
      <c r="B100" s="2" t="s">
        <v>394</v>
      </c>
      <c r="C100" s="2" t="s">
        <v>395</v>
      </c>
      <c r="D100" s="3" t="s">
        <v>438</v>
      </c>
      <c r="E100" s="6" t="s">
        <v>31</v>
      </c>
      <c r="F100" s="3" t="s">
        <v>439</v>
      </c>
      <c r="G100" s="3" t="s">
        <v>440</v>
      </c>
      <c r="H100" s="3" t="s">
        <v>384</v>
      </c>
      <c r="I100" s="5" t="n">
        <v>2</v>
      </c>
    </row>
    <row r="101" customFormat="false" ht="23.85" hidden="false" customHeight="false" outlineLevel="0" collapsed="false">
      <c r="A101" s="2" t="s">
        <v>441</v>
      </c>
      <c r="B101" s="2" t="s">
        <v>394</v>
      </c>
      <c r="C101" s="2" t="s">
        <v>395</v>
      </c>
      <c r="D101" s="3" t="s">
        <v>442</v>
      </c>
      <c r="E101" s="6" t="s">
        <v>31</v>
      </c>
      <c r="F101" s="3" t="s">
        <v>412</v>
      </c>
      <c r="G101" s="3" t="s">
        <v>443</v>
      </c>
      <c r="H101" s="3" t="s">
        <v>444</v>
      </c>
      <c r="I101" s="5" t="n">
        <v>1</v>
      </c>
    </row>
    <row r="102" customFormat="false" ht="23.85" hidden="false" customHeight="false" outlineLevel="0" collapsed="false">
      <c r="A102" s="2" t="s">
        <v>445</v>
      </c>
      <c r="B102" s="2" t="s">
        <v>394</v>
      </c>
      <c r="C102" s="2" t="s">
        <v>395</v>
      </c>
      <c r="D102" s="3" t="s">
        <v>446</v>
      </c>
      <c r="E102" s="7" t="s">
        <v>73</v>
      </c>
      <c r="F102" s="3" t="s">
        <v>447</v>
      </c>
      <c r="G102" s="3" t="s">
        <v>448</v>
      </c>
      <c r="H102" s="3" t="s">
        <v>449</v>
      </c>
      <c r="I102" s="5" t="n">
        <v>2</v>
      </c>
    </row>
    <row r="103" customFormat="false" ht="23.85" hidden="false" customHeight="false" outlineLevel="0" collapsed="false">
      <c r="A103" s="2" t="s">
        <v>450</v>
      </c>
      <c r="B103" s="2" t="s">
        <v>394</v>
      </c>
      <c r="C103" s="2" t="s">
        <v>395</v>
      </c>
      <c r="D103" s="3" t="s">
        <v>451</v>
      </c>
      <c r="E103" s="7" t="s">
        <v>73</v>
      </c>
      <c r="F103" s="3" t="s">
        <v>437</v>
      </c>
      <c r="G103" s="3" t="s">
        <v>452</v>
      </c>
      <c r="H103" s="3" t="s">
        <v>288</v>
      </c>
      <c r="I103" s="5" t="n">
        <v>1</v>
      </c>
    </row>
    <row r="104" customFormat="false" ht="23.85" hidden="false" customHeight="false" outlineLevel="0" collapsed="false">
      <c r="A104" s="2" t="s">
        <v>453</v>
      </c>
      <c r="B104" s="2" t="s">
        <v>394</v>
      </c>
      <c r="C104" s="2" t="s">
        <v>395</v>
      </c>
      <c r="D104" s="3" t="s">
        <v>454</v>
      </c>
      <c r="E104" s="4" t="s">
        <v>13</v>
      </c>
      <c r="F104" s="3" t="s">
        <v>433</v>
      </c>
      <c r="G104" s="3" t="s">
        <v>455</v>
      </c>
      <c r="H104" s="3" t="s">
        <v>456</v>
      </c>
      <c r="I104" s="5" t="n">
        <v>1</v>
      </c>
    </row>
    <row r="105" customFormat="false" ht="23.85" hidden="false" customHeight="false" outlineLevel="0" collapsed="false">
      <c r="A105" s="2" t="s">
        <v>457</v>
      </c>
      <c r="B105" s="2" t="s">
        <v>458</v>
      </c>
      <c r="C105" s="2" t="s">
        <v>459</v>
      </c>
      <c r="D105" s="3" t="s">
        <v>460</v>
      </c>
      <c r="E105" s="4" t="s">
        <v>13</v>
      </c>
      <c r="F105" s="3" t="s">
        <v>43</v>
      </c>
      <c r="G105" s="3" t="s">
        <v>461</v>
      </c>
      <c r="H105" s="3" t="s">
        <v>462</v>
      </c>
      <c r="I105" s="5" t="n">
        <v>2</v>
      </c>
    </row>
    <row r="106" customFormat="false" ht="23.85" hidden="false" customHeight="false" outlineLevel="0" collapsed="false">
      <c r="A106" s="2" t="s">
        <v>463</v>
      </c>
      <c r="B106" s="2" t="s">
        <v>458</v>
      </c>
      <c r="C106" s="2" t="s">
        <v>459</v>
      </c>
      <c r="D106" s="3" t="s">
        <v>464</v>
      </c>
      <c r="E106" s="4" t="s">
        <v>13</v>
      </c>
      <c r="F106" s="3" t="s">
        <v>457</v>
      </c>
      <c r="G106" s="3" t="s">
        <v>465</v>
      </c>
      <c r="H106" s="3" t="s">
        <v>466</v>
      </c>
      <c r="I106" s="5" t="n">
        <v>2</v>
      </c>
    </row>
    <row r="107" customFormat="false" ht="23.85" hidden="false" customHeight="false" outlineLevel="0" collapsed="false">
      <c r="A107" s="2" t="s">
        <v>467</v>
      </c>
      <c r="B107" s="2" t="s">
        <v>458</v>
      </c>
      <c r="C107" s="2" t="s">
        <v>459</v>
      </c>
      <c r="D107" s="3" t="s">
        <v>468</v>
      </c>
      <c r="E107" s="4" t="s">
        <v>13</v>
      </c>
      <c r="F107" s="3" t="s">
        <v>457</v>
      </c>
      <c r="G107" s="3" t="s">
        <v>469</v>
      </c>
      <c r="H107" s="3" t="s">
        <v>470</v>
      </c>
      <c r="I107" s="5" t="n">
        <v>1</v>
      </c>
    </row>
    <row r="108" customFormat="false" ht="35.05" hidden="false" customHeight="false" outlineLevel="0" collapsed="false">
      <c r="A108" s="2" t="s">
        <v>471</v>
      </c>
      <c r="B108" s="2" t="s">
        <v>458</v>
      </c>
      <c r="C108" s="2" t="s">
        <v>459</v>
      </c>
      <c r="D108" s="3" t="s">
        <v>472</v>
      </c>
      <c r="E108" s="4" t="s">
        <v>13</v>
      </c>
      <c r="F108" s="3" t="s">
        <v>457</v>
      </c>
      <c r="G108" s="3" t="s">
        <v>473</v>
      </c>
      <c r="H108" s="3" t="s">
        <v>474</v>
      </c>
      <c r="I108" s="5" t="n">
        <v>1</v>
      </c>
    </row>
    <row r="109" customFormat="false" ht="23.85" hidden="false" customHeight="false" outlineLevel="0" collapsed="false">
      <c r="A109" s="2" t="s">
        <v>475</v>
      </c>
      <c r="B109" s="2" t="s">
        <v>458</v>
      </c>
      <c r="C109" s="2" t="s">
        <v>459</v>
      </c>
      <c r="D109" s="3" t="s">
        <v>476</v>
      </c>
      <c r="E109" s="4" t="s">
        <v>13</v>
      </c>
      <c r="F109" s="3" t="s">
        <v>477</v>
      </c>
      <c r="G109" s="3" t="s">
        <v>478</v>
      </c>
      <c r="H109" s="3" t="s">
        <v>479</v>
      </c>
      <c r="I109" s="5" t="n">
        <v>2</v>
      </c>
    </row>
    <row r="110" customFormat="false" ht="23.85" hidden="false" customHeight="false" outlineLevel="0" collapsed="false">
      <c r="A110" s="2" t="s">
        <v>480</v>
      </c>
      <c r="B110" s="2" t="s">
        <v>458</v>
      </c>
      <c r="C110" s="2" t="s">
        <v>459</v>
      </c>
      <c r="D110" s="3" t="s">
        <v>481</v>
      </c>
      <c r="E110" s="4" t="s">
        <v>13</v>
      </c>
      <c r="F110" s="3" t="s">
        <v>475</v>
      </c>
      <c r="G110" s="3" t="s">
        <v>482</v>
      </c>
      <c r="H110" s="3" t="s">
        <v>483</v>
      </c>
      <c r="I110" s="5" t="n">
        <v>2</v>
      </c>
    </row>
    <row r="111" customFormat="false" ht="23.85" hidden="false" customHeight="false" outlineLevel="0" collapsed="false">
      <c r="A111" s="2" t="s">
        <v>484</v>
      </c>
      <c r="B111" s="2" t="s">
        <v>458</v>
      </c>
      <c r="C111" s="2" t="s">
        <v>459</v>
      </c>
      <c r="D111" s="3" t="s">
        <v>485</v>
      </c>
      <c r="E111" s="4" t="s">
        <v>13</v>
      </c>
      <c r="F111" s="3" t="s">
        <v>480</v>
      </c>
      <c r="G111" s="3" t="s">
        <v>486</v>
      </c>
      <c r="H111" s="3" t="s">
        <v>487</v>
      </c>
      <c r="I111" s="5" t="n">
        <v>1</v>
      </c>
    </row>
    <row r="112" customFormat="false" ht="23.85" hidden="false" customHeight="false" outlineLevel="0" collapsed="false">
      <c r="A112" s="2" t="s">
        <v>488</v>
      </c>
      <c r="B112" s="2" t="s">
        <v>458</v>
      </c>
      <c r="C112" s="2" t="s">
        <v>459</v>
      </c>
      <c r="D112" s="3" t="s">
        <v>489</v>
      </c>
      <c r="E112" s="4" t="s">
        <v>13</v>
      </c>
      <c r="F112" s="3" t="s">
        <v>490</v>
      </c>
      <c r="G112" s="3" t="s">
        <v>491</v>
      </c>
      <c r="H112" s="3" t="s">
        <v>492</v>
      </c>
      <c r="I112" s="5" t="n">
        <v>2</v>
      </c>
    </row>
    <row r="113" customFormat="false" ht="23.85" hidden="false" customHeight="false" outlineLevel="0" collapsed="false">
      <c r="A113" s="2" t="s">
        <v>493</v>
      </c>
      <c r="B113" s="2" t="s">
        <v>458</v>
      </c>
      <c r="C113" s="2" t="s">
        <v>459</v>
      </c>
      <c r="D113" s="3" t="s">
        <v>494</v>
      </c>
      <c r="E113" s="4" t="s">
        <v>13</v>
      </c>
      <c r="F113" s="3" t="s">
        <v>480</v>
      </c>
      <c r="G113" s="3" t="s">
        <v>495</v>
      </c>
      <c r="H113" s="3" t="s">
        <v>496</v>
      </c>
      <c r="I113" s="5" t="n">
        <v>1</v>
      </c>
    </row>
    <row r="114" customFormat="false" ht="23.85" hidden="false" customHeight="false" outlineLevel="0" collapsed="false">
      <c r="A114" s="2" t="s">
        <v>497</v>
      </c>
      <c r="B114" s="2" t="s">
        <v>458</v>
      </c>
      <c r="C114" s="2" t="s">
        <v>459</v>
      </c>
      <c r="D114" s="3" t="s">
        <v>498</v>
      </c>
      <c r="E114" s="6" t="s">
        <v>31</v>
      </c>
      <c r="F114" s="3" t="s">
        <v>480</v>
      </c>
      <c r="G114" s="3" t="s">
        <v>499</v>
      </c>
      <c r="H114" s="3" t="s">
        <v>500</v>
      </c>
      <c r="I114" s="5" t="n">
        <v>1</v>
      </c>
    </row>
    <row r="115" customFormat="false" ht="23.85" hidden="false" customHeight="false" outlineLevel="0" collapsed="false">
      <c r="A115" s="2" t="s">
        <v>501</v>
      </c>
      <c r="B115" s="2" t="s">
        <v>458</v>
      </c>
      <c r="C115" s="2" t="s">
        <v>459</v>
      </c>
      <c r="D115" s="3" t="s">
        <v>502</v>
      </c>
      <c r="E115" s="4" t="s">
        <v>13</v>
      </c>
      <c r="F115" s="3" t="s">
        <v>503</v>
      </c>
      <c r="G115" s="3" t="s">
        <v>504</v>
      </c>
      <c r="H115" s="3" t="s">
        <v>505</v>
      </c>
      <c r="I115" s="5" t="n">
        <v>2</v>
      </c>
    </row>
    <row r="116" customFormat="false" ht="23.85" hidden="false" customHeight="false" outlineLevel="0" collapsed="false">
      <c r="A116" s="2" t="s">
        <v>506</v>
      </c>
      <c r="B116" s="2" t="s">
        <v>458</v>
      </c>
      <c r="C116" s="2" t="s">
        <v>459</v>
      </c>
      <c r="D116" s="3" t="s">
        <v>507</v>
      </c>
      <c r="E116" s="7" t="s">
        <v>73</v>
      </c>
      <c r="F116" s="3" t="s">
        <v>480</v>
      </c>
      <c r="G116" s="3" t="s">
        <v>508</v>
      </c>
      <c r="H116" s="3" t="s">
        <v>509</v>
      </c>
      <c r="I116" s="5" t="n">
        <v>1</v>
      </c>
    </row>
    <row r="117" customFormat="false" ht="23.85" hidden="false" customHeight="false" outlineLevel="0" collapsed="false">
      <c r="A117" s="2" t="s">
        <v>510</v>
      </c>
      <c r="B117" s="2" t="s">
        <v>458</v>
      </c>
      <c r="C117" s="2" t="s">
        <v>459</v>
      </c>
      <c r="D117" s="3" t="s">
        <v>511</v>
      </c>
      <c r="E117" s="4" t="s">
        <v>13</v>
      </c>
      <c r="F117" s="3" t="s">
        <v>480</v>
      </c>
      <c r="G117" s="3" t="s">
        <v>512</v>
      </c>
      <c r="H117" s="3" t="s">
        <v>513</v>
      </c>
      <c r="I117" s="5" t="n">
        <v>1</v>
      </c>
    </row>
    <row r="118" customFormat="false" ht="23.85" hidden="false" customHeight="false" outlineLevel="0" collapsed="false">
      <c r="A118" s="2" t="s">
        <v>514</v>
      </c>
      <c r="B118" s="2" t="s">
        <v>458</v>
      </c>
      <c r="C118" s="2" t="s">
        <v>459</v>
      </c>
      <c r="D118" s="3" t="s">
        <v>515</v>
      </c>
      <c r="E118" s="6" t="s">
        <v>31</v>
      </c>
      <c r="F118" s="3" t="s">
        <v>480</v>
      </c>
      <c r="G118" s="3" t="s">
        <v>516</v>
      </c>
      <c r="H118" s="3" t="s">
        <v>517</v>
      </c>
      <c r="I118" s="5" t="n">
        <v>1</v>
      </c>
    </row>
    <row r="119" customFormat="false" ht="23.85" hidden="false" customHeight="false" outlineLevel="0" collapsed="false">
      <c r="A119" s="2" t="s">
        <v>518</v>
      </c>
      <c r="B119" s="2" t="s">
        <v>458</v>
      </c>
      <c r="C119" s="2" t="s">
        <v>459</v>
      </c>
      <c r="D119" s="3" t="s">
        <v>519</v>
      </c>
      <c r="E119" s="4" t="s">
        <v>13</v>
      </c>
      <c r="F119" s="3" t="s">
        <v>520</v>
      </c>
      <c r="G119" s="3" t="s">
        <v>521</v>
      </c>
      <c r="H119" s="3" t="s">
        <v>522</v>
      </c>
      <c r="I119" s="5" t="n">
        <v>2</v>
      </c>
    </row>
    <row r="120" customFormat="false" ht="23.85" hidden="false" customHeight="false" outlineLevel="0" collapsed="false">
      <c r="A120" s="2" t="s">
        <v>523</v>
      </c>
      <c r="B120" s="2" t="s">
        <v>458</v>
      </c>
      <c r="C120" s="2" t="s">
        <v>459</v>
      </c>
      <c r="D120" s="3" t="s">
        <v>524</v>
      </c>
      <c r="E120" s="6" t="s">
        <v>31</v>
      </c>
      <c r="F120" s="3" t="s">
        <v>518</v>
      </c>
      <c r="G120" s="3" t="s">
        <v>525</v>
      </c>
      <c r="H120" s="3" t="s">
        <v>526</v>
      </c>
      <c r="I120" s="5" t="n">
        <v>1</v>
      </c>
    </row>
    <row r="121" customFormat="false" ht="23.85" hidden="false" customHeight="false" outlineLevel="0" collapsed="false">
      <c r="A121" s="2" t="s">
        <v>527</v>
      </c>
      <c r="B121" s="2" t="s">
        <v>458</v>
      </c>
      <c r="C121" s="2" t="s">
        <v>459</v>
      </c>
      <c r="D121" s="3" t="s">
        <v>528</v>
      </c>
      <c r="E121" s="4" t="s">
        <v>13</v>
      </c>
      <c r="F121" s="3" t="s">
        <v>529</v>
      </c>
      <c r="G121" s="3" t="s">
        <v>530</v>
      </c>
      <c r="H121" s="3" t="s">
        <v>531</v>
      </c>
      <c r="I121" s="5" t="n">
        <v>2</v>
      </c>
    </row>
    <row r="122" customFormat="false" ht="23.85" hidden="false" customHeight="false" outlineLevel="0" collapsed="false">
      <c r="A122" s="2" t="s">
        <v>532</v>
      </c>
      <c r="B122" s="2" t="s">
        <v>458</v>
      </c>
      <c r="C122" s="2" t="s">
        <v>459</v>
      </c>
      <c r="D122" s="3" t="s">
        <v>533</v>
      </c>
      <c r="E122" s="4" t="s">
        <v>13</v>
      </c>
      <c r="F122" s="3" t="s">
        <v>527</v>
      </c>
      <c r="G122" s="3" t="s">
        <v>534</v>
      </c>
      <c r="H122" s="3" t="s">
        <v>535</v>
      </c>
      <c r="I122" s="5" t="n">
        <v>2</v>
      </c>
    </row>
    <row r="123" customFormat="false" ht="23.85" hidden="false" customHeight="false" outlineLevel="0" collapsed="false">
      <c r="A123" s="2" t="s">
        <v>536</v>
      </c>
      <c r="B123" s="2" t="s">
        <v>458</v>
      </c>
      <c r="C123" s="2" t="s">
        <v>459</v>
      </c>
      <c r="D123" s="3" t="s">
        <v>537</v>
      </c>
      <c r="E123" s="4" t="s">
        <v>13</v>
      </c>
      <c r="F123" s="3" t="s">
        <v>457</v>
      </c>
      <c r="G123" s="3" t="s">
        <v>538</v>
      </c>
      <c r="H123" s="3" t="s">
        <v>539</v>
      </c>
      <c r="I123" s="5" t="n">
        <v>2</v>
      </c>
    </row>
    <row r="124" customFormat="false" ht="23.85" hidden="false" customHeight="false" outlineLevel="0" collapsed="false">
      <c r="A124" s="2" t="s">
        <v>540</v>
      </c>
      <c r="B124" s="2" t="s">
        <v>458</v>
      </c>
      <c r="C124" s="2" t="s">
        <v>459</v>
      </c>
      <c r="D124" s="3" t="s">
        <v>541</v>
      </c>
      <c r="E124" s="4" t="s">
        <v>13</v>
      </c>
      <c r="F124" s="3" t="s">
        <v>542</v>
      </c>
      <c r="G124" s="3" t="s">
        <v>543</v>
      </c>
      <c r="H124" s="3" t="s">
        <v>544</v>
      </c>
      <c r="I124" s="5" t="n">
        <v>2</v>
      </c>
    </row>
    <row r="125" customFormat="false" ht="23.85" hidden="false" customHeight="false" outlineLevel="0" collapsed="false">
      <c r="A125" s="2" t="s">
        <v>545</v>
      </c>
      <c r="B125" s="2" t="s">
        <v>458</v>
      </c>
      <c r="C125" s="2" t="s">
        <v>459</v>
      </c>
      <c r="D125" s="3" t="s">
        <v>546</v>
      </c>
      <c r="E125" s="4" t="s">
        <v>13</v>
      </c>
      <c r="F125" s="3" t="s">
        <v>540</v>
      </c>
      <c r="G125" s="3" t="s">
        <v>547</v>
      </c>
      <c r="H125" s="3" t="s">
        <v>548</v>
      </c>
      <c r="I125" s="5" t="n">
        <v>2</v>
      </c>
    </row>
    <row r="126" customFormat="false" ht="23.85" hidden="false" customHeight="false" outlineLevel="0" collapsed="false">
      <c r="A126" s="2" t="s">
        <v>549</v>
      </c>
      <c r="B126" s="2" t="s">
        <v>458</v>
      </c>
      <c r="C126" s="2" t="s">
        <v>459</v>
      </c>
      <c r="D126" s="3" t="s">
        <v>550</v>
      </c>
      <c r="E126" s="4" t="s">
        <v>13</v>
      </c>
      <c r="F126" s="3" t="s">
        <v>551</v>
      </c>
      <c r="G126" s="3" t="s">
        <v>552</v>
      </c>
      <c r="H126" s="3" t="s">
        <v>553</v>
      </c>
      <c r="I126" s="5" t="n">
        <v>2</v>
      </c>
    </row>
    <row r="127" customFormat="false" ht="23.85" hidden="false" customHeight="false" outlineLevel="0" collapsed="false">
      <c r="A127" s="2" t="s">
        <v>554</v>
      </c>
      <c r="B127" s="2" t="s">
        <v>458</v>
      </c>
      <c r="C127" s="2" t="s">
        <v>459</v>
      </c>
      <c r="D127" s="3" t="s">
        <v>555</v>
      </c>
      <c r="E127" s="4" t="s">
        <v>13</v>
      </c>
      <c r="F127" s="3" t="s">
        <v>549</v>
      </c>
      <c r="G127" s="3" t="s">
        <v>556</v>
      </c>
      <c r="H127" s="3" t="s">
        <v>557</v>
      </c>
      <c r="I127" s="5" t="n">
        <v>2</v>
      </c>
    </row>
    <row r="128" customFormat="false" ht="23.85" hidden="false" customHeight="false" outlineLevel="0" collapsed="false">
      <c r="A128" s="2" t="s">
        <v>558</v>
      </c>
      <c r="B128" s="2" t="s">
        <v>458</v>
      </c>
      <c r="C128" s="2" t="s">
        <v>459</v>
      </c>
      <c r="D128" s="3" t="s">
        <v>559</v>
      </c>
      <c r="E128" s="4" t="s">
        <v>13</v>
      </c>
      <c r="F128" s="3" t="s">
        <v>560</v>
      </c>
      <c r="G128" s="3" t="s">
        <v>561</v>
      </c>
      <c r="H128" s="3" t="s">
        <v>562</v>
      </c>
      <c r="I128" s="5" t="n">
        <v>2</v>
      </c>
    </row>
    <row r="129" customFormat="false" ht="23.85" hidden="false" customHeight="false" outlineLevel="0" collapsed="false">
      <c r="A129" s="2" t="s">
        <v>563</v>
      </c>
      <c r="B129" s="2" t="s">
        <v>458</v>
      </c>
      <c r="C129" s="2" t="s">
        <v>459</v>
      </c>
      <c r="D129" s="3" t="s">
        <v>564</v>
      </c>
      <c r="E129" s="4" t="s">
        <v>13</v>
      </c>
      <c r="F129" s="3" t="s">
        <v>558</v>
      </c>
      <c r="G129" s="3" t="s">
        <v>565</v>
      </c>
      <c r="H129" s="3" t="s">
        <v>566</v>
      </c>
      <c r="I129" s="5" t="n">
        <v>1</v>
      </c>
    </row>
    <row r="130" customFormat="false" ht="35.05" hidden="false" customHeight="false" outlineLevel="0" collapsed="false">
      <c r="A130" s="2" t="s">
        <v>567</v>
      </c>
      <c r="B130" s="2" t="s">
        <v>458</v>
      </c>
      <c r="C130" s="2" t="s">
        <v>459</v>
      </c>
      <c r="D130" s="3" t="s">
        <v>568</v>
      </c>
      <c r="E130" s="4" t="s">
        <v>13</v>
      </c>
      <c r="F130" s="3" t="s">
        <v>569</v>
      </c>
      <c r="G130" s="3" t="s">
        <v>570</v>
      </c>
      <c r="H130" s="3" t="s">
        <v>571</v>
      </c>
      <c r="I130" s="5" t="n">
        <v>2</v>
      </c>
    </row>
    <row r="131" customFormat="false" ht="23.85" hidden="false" customHeight="false" outlineLevel="0" collapsed="false">
      <c r="A131" s="2" t="s">
        <v>572</v>
      </c>
      <c r="B131" s="2" t="s">
        <v>458</v>
      </c>
      <c r="C131" s="2" t="s">
        <v>459</v>
      </c>
      <c r="D131" s="3" t="s">
        <v>573</v>
      </c>
      <c r="E131" s="4" t="s">
        <v>13</v>
      </c>
      <c r="F131" s="3" t="s">
        <v>574</v>
      </c>
      <c r="G131" s="3" t="s">
        <v>575</v>
      </c>
      <c r="H131" s="3" t="s">
        <v>576</v>
      </c>
      <c r="I131" s="5" t="n">
        <v>2</v>
      </c>
    </row>
    <row r="132" customFormat="false" ht="23.85" hidden="false" customHeight="false" outlineLevel="0" collapsed="false">
      <c r="A132" s="2" t="s">
        <v>577</v>
      </c>
      <c r="B132" s="2" t="s">
        <v>458</v>
      </c>
      <c r="C132" s="2" t="s">
        <v>459</v>
      </c>
      <c r="D132" s="3" t="s">
        <v>578</v>
      </c>
      <c r="E132" s="6" t="s">
        <v>31</v>
      </c>
      <c r="F132" s="3" t="s">
        <v>572</v>
      </c>
      <c r="G132" s="3" t="s">
        <v>579</v>
      </c>
      <c r="H132" s="3" t="s">
        <v>580</v>
      </c>
      <c r="I132" s="5" t="n">
        <v>2</v>
      </c>
    </row>
    <row r="133" customFormat="false" ht="23.85" hidden="false" customHeight="false" outlineLevel="0" collapsed="false">
      <c r="A133" s="2" t="s">
        <v>581</v>
      </c>
      <c r="B133" s="2" t="s">
        <v>458</v>
      </c>
      <c r="C133" s="2" t="s">
        <v>459</v>
      </c>
      <c r="D133" s="3" t="s">
        <v>582</v>
      </c>
      <c r="E133" s="4" t="s">
        <v>13</v>
      </c>
      <c r="F133" s="3" t="s">
        <v>577</v>
      </c>
      <c r="G133" s="3" t="s">
        <v>583</v>
      </c>
      <c r="H133" s="3" t="s">
        <v>584</v>
      </c>
      <c r="I133" s="5" t="n">
        <v>1</v>
      </c>
    </row>
    <row r="134" customFormat="false" ht="23.85" hidden="false" customHeight="false" outlineLevel="0" collapsed="false">
      <c r="A134" s="2" t="s">
        <v>585</v>
      </c>
      <c r="B134" s="2" t="s">
        <v>458</v>
      </c>
      <c r="C134" s="2" t="s">
        <v>459</v>
      </c>
      <c r="D134" s="3" t="s">
        <v>586</v>
      </c>
      <c r="E134" s="6" t="s">
        <v>31</v>
      </c>
      <c r="F134" s="3" t="s">
        <v>572</v>
      </c>
      <c r="G134" s="3" t="s">
        <v>587</v>
      </c>
      <c r="H134" s="3" t="s">
        <v>588</v>
      </c>
      <c r="I134" s="5" t="n">
        <v>1</v>
      </c>
    </row>
    <row r="135" customFormat="false" ht="23.85" hidden="false" customHeight="false" outlineLevel="0" collapsed="false">
      <c r="A135" s="2" t="s">
        <v>589</v>
      </c>
      <c r="B135" s="2" t="s">
        <v>458</v>
      </c>
      <c r="C135" s="2" t="s">
        <v>459</v>
      </c>
      <c r="D135" s="3" t="s">
        <v>590</v>
      </c>
      <c r="E135" s="6" t="s">
        <v>31</v>
      </c>
      <c r="F135" s="3" t="s">
        <v>572</v>
      </c>
      <c r="G135" s="3" t="s">
        <v>591</v>
      </c>
      <c r="H135" s="3" t="s">
        <v>592</v>
      </c>
      <c r="I135" s="5" t="n">
        <v>2</v>
      </c>
    </row>
    <row r="136" customFormat="false" ht="35.05" hidden="false" customHeight="false" outlineLevel="0" collapsed="false">
      <c r="A136" s="2" t="s">
        <v>593</v>
      </c>
      <c r="B136" s="2" t="s">
        <v>458</v>
      </c>
      <c r="C136" s="2" t="s">
        <v>459</v>
      </c>
      <c r="D136" s="3" t="s">
        <v>594</v>
      </c>
      <c r="E136" s="4" t="s">
        <v>13</v>
      </c>
      <c r="F136" s="3" t="s">
        <v>595</v>
      </c>
      <c r="G136" s="3" t="s">
        <v>596</v>
      </c>
      <c r="H136" s="3" t="s">
        <v>597</v>
      </c>
      <c r="I136" s="5" t="n">
        <v>2</v>
      </c>
    </row>
    <row r="137" customFormat="false" ht="23.85" hidden="false" customHeight="false" outlineLevel="0" collapsed="false">
      <c r="A137" s="2" t="s">
        <v>598</v>
      </c>
      <c r="B137" s="2" t="s">
        <v>458</v>
      </c>
      <c r="C137" s="2" t="s">
        <v>459</v>
      </c>
      <c r="D137" s="3" t="s">
        <v>599</v>
      </c>
      <c r="E137" s="4" t="s">
        <v>13</v>
      </c>
      <c r="F137" s="3" t="s">
        <v>600</v>
      </c>
      <c r="G137" s="3" t="s">
        <v>601</v>
      </c>
      <c r="H137" s="3" t="s">
        <v>602</v>
      </c>
      <c r="I137" s="5" t="n">
        <v>2</v>
      </c>
    </row>
    <row r="138" customFormat="false" ht="23.85" hidden="false" customHeight="false" outlineLevel="0" collapsed="false">
      <c r="A138" s="2" t="s">
        <v>603</v>
      </c>
      <c r="B138" s="2" t="s">
        <v>458</v>
      </c>
      <c r="C138" s="2" t="s">
        <v>459</v>
      </c>
      <c r="D138" s="3" t="s">
        <v>604</v>
      </c>
      <c r="E138" s="4" t="s">
        <v>13</v>
      </c>
      <c r="F138" s="3" t="s">
        <v>605</v>
      </c>
      <c r="G138" s="3" t="s">
        <v>606</v>
      </c>
      <c r="H138" s="3" t="s">
        <v>607</v>
      </c>
      <c r="I138" s="5" t="n">
        <v>2</v>
      </c>
    </row>
    <row r="139" customFormat="false" ht="23.85" hidden="false" customHeight="false" outlineLevel="0" collapsed="false">
      <c r="A139" s="2" t="s">
        <v>608</v>
      </c>
      <c r="B139" s="2" t="s">
        <v>458</v>
      </c>
      <c r="C139" s="2" t="s">
        <v>459</v>
      </c>
      <c r="D139" s="3" t="s">
        <v>609</v>
      </c>
      <c r="E139" s="6" t="s">
        <v>31</v>
      </c>
      <c r="F139" s="3" t="s">
        <v>610</v>
      </c>
      <c r="G139" s="3" t="s">
        <v>611</v>
      </c>
      <c r="H139" s="3" t="s">
        <v>612</v>
      </c>
      <c r="I139" s="5" t="n">
        <v>1</v>
      </c>
    </row>
    <row r="140" customFormat="false" ht="23.85" hidden="false" customHeight="false" outlineLevel="0" collapsed="false">
      <c r="A140" s="2" t="s">
        <v>613</v>
      </c>
      <c r="B140" s="2" t="s">
        <v>614</v>
      </c>
      <c r="C140" s="2" t="s">
        <v>615</v>
      </c>
      <c r="D140" s="3" t="s">
        <v>616</v>
      </c>
      <c r="E140" s="4" t="s">
        <v>13</v>
      </c>
      <c r="F140" s="3" t="s">
        <v>43</v>
      </c>
      <c r="G140" s="3" t="s">
        <v>617</v>
      </c>
      <c r="H140" s="3" t="s">
        <v>618</v>
      </c>
      <c r="I140" s="5" t="n">
        <v>2</v>
      </c>
    </row>
    <row r="141" customFormat="false" ht="23.85" hidden="false" customHeight="false" outlineLevel="0" collapsed="false">
      <c r="A141" s="2" t="s">
        <v>619</v>
      </c>
      <c r="B141" s="2" t="s">
        <v>614</v>
      </c>
      <c r="C141" s="2" t="s">
        <v>615</v>
      </c>
      <c r="D141" s="3" t="s">
        <v>620</v>
      </c>
      <c r="E141" s="4" t="s">
        <v>13</v>
      </c>
      <c r="F141" s="3" t="s">
        <v>613</v>
      </c>
      <c r="G141" s="3" t="s">
        <v>621</v>
      </c>
      <c r="H141" s="3" t="s">
        <v>622</v>
      </c>
      <c r="I141" s="5" t="n">
        <v>1</v>
      </c>
    </row>
    <row r="142" customFormat="false" ht="23.85" hidden="false" customHeight="false" outlineLevel="0" collapsed="false">
      <c r="A142" s="2" t="s">
        <v>623</v>
      </c>
      <c r="B142" s="2" t="s">
        <v>614</v>
      </c>
      <c r="C142" s="2" t="s">
        <v>615</v>
      </c>
      <c r="D142" s="3" t="s">
        <v>624</v>
      </c>
      <c r="E142" s="4" t="s">
        <v>13</v>
      </c>
      <c r="F142" s="3" t="s">
        <v>625</v>
      </c>
      <c r="G142" s="3" t="s">
        <v>626</v>
      </c>
      <c r="H142" s="3" t="s">
        <v>627</v>
      </c>
      <c r="I142" s="5" t="n">
        <v>2</v>
      </c>
    </row>
    <row r="143" customFormat="false" ht="23.85" hidden="false" customHeight="false" outlineLevel="0" collapsed="false">
      <c r="A143" s="2" t="s">
        <v>628</v>
      </c>
      <c r="B143" s="2" t="s">
        <v>614</v>
      </c>
      <c r="C143" s="2" t="s">
        <v>615</v>
      </c>
      <c r="D143" s="3" t="s">
        <v>629</v>
      </c>
      <c r="E143" s="4" t="s">
        <v>13</v>
      </c>
      <c r="F143" s="3" t="s">
        <v>630</v>
      </c>
      <c r="G143" s="3" t="s">
        <v>631</v>
      </c>
      <c r="H143" s="3" t="s">
        <v>632</v>
      </c>
      <c r="I143" s="5" t="n">
        <v>1</v>
      </c>
    </row>
    <row r="144" customFormat="false" ht="23.85" hidden="false" customHeight="false" outlineLevel="0" collapsed="false">
      <c r="A144" s="2" t="s">
        <v>633</v>
      </c>
      <c r="B144" s="2" t="s">
        <v>614</v>
      </c>
      <c r="C144" s="2" t="s">
        <v>615</v>
      </c>
      <c r="D144" s="3" t="s">
        <v>634</v>
      </c>
      <c r="E144" s="4" t="s">
        <v>13</v>
      </c>
      <c r="F144" s="3" t="s">
        <v>635</v>
      </c>
      <c r="G144" s="3" t="s">
        <v>636</v>
      </c>
      <c r="H144" s="3" t="s">
        <v>637</v>
      </c>
      <c r="I144" s="5" t="n">
        <v>2</v>
      </c>
    </row>
    <row r="145" customFormat="false" ht="23.85" hidden="false" customHeight="false" outlineLevel="0" collapsed="false">
      <c r="A145" s="2" t="s">
        <v>638</v>
      </c>
      <c r="B145" s="2" t="s">
        <v>614</v>
      </c>
      <c r="C145" s="2" t="s">
        <v>615</v>
      </c>
      <c r="D145" s="3" t="s">
        <v>639</v>
      </c>
      <c r="E145" s="4" t="s">
        <v>13</v>
      </c>
      <c r="F145" s="3" t="s">
        <v>640</v>
      </c>
      <c r="G145" s="3" t="s">
        <v>641</v>
      </c>
      <c r="H145" s="3" t="s">
        <v>642</v>
      </c>
      <c r="I145" s="5" t="n">
        <v>2</v>
      </c>
    </row>
    <row r="146" customFormat="false" ht="23.85" hidden="false" customHeight="false" outlineLevel="0" collapsed="false">
      <c r="A146" s="2" t="s">
        <v>643</v>
      </c>
      <c r="B146" s="2" t="s">
        <v>614</v>
      </c>
      <c r="C146" s="2" t="s">
        <v>615</v>
      </c>
      <c r="D146" s="3" t="s">
        <v>644</v>
      </c>
      <c r="E146" s="4" t="s">
        <v>13</v>
      </c>
      <c r="F146" s="3" t="s">
        <v>638</v>
      </c>
      <c r="G146" s="3" t="s">
        <v>645</v>
      </c>
      <c r="H146" s="3" t="s">
        <v>646</v>
      </c>
      <c r="I146" s="5" t="n">
        <v>2</v>
      </c>
    </row>
    <row r="147" customFormat="false" ht="23.85" hidden="false" customHeight="false" outlineLevel="0" collapsed="false">
      <c r="A147" s="2" t="s">
        <v>647</v>
      </c>
      <c r="B147" s="2" t="s">
        <v>614</v>
      </c>
      <c r="C147" s="2" t="s">
        <v>615</v>
      </c>
      <c r="D147" s="3" t="s">
        <v>648</v>
      </c>
      <c r="E147" s="6" t="s">
        <v>31</v>
      </c>
      <c r="F147" s="3" t="s">
        <v>633</v>
      </c>
      <c r="G147" s="3" t="s">
        <v>649</v>
      </c>
      <c r="H147" s="3" t="s">
        <v>650</v>
      </c>
      <c r="I147" s="5" t="n">
        <v>1</v>
      </c>
    </row>
    <row r="148" customFormat="false" ht="23.85" hidden="false" customHeight="false" outlineLevel="0" collapsed="false">
      <c r="A148" s="2" t="s">
        <v>651</v>
      </c>
      <c r="B148" s="2" t="s">
        <v>614</v>
      </c>
      <c r="C148" s="2" t="s">
        <v>615</v>
      </c>
      <c r="D148" s="3" t="s">
        <v>652</v>
      </c>
      <c r="E148" s="4" t="s">
        <v>13</v>
      </c>
      <c r="F148" s="3" t="s">
        <v>653</v>
      </c>
      <c r="G148" s="3" t="s">
        <v>654</v>
      </c>
      <c r="H148" s="3" t="s">
        <v>655</v>
      </c>
      <c r="I148" s="5" t="n">
        <v>2</v>
      </c>
    </row>
    <row r="149" customFormat="false" ht="23.85" hidden="false" customHeight="false" outlineLevel="0" collapsed="false">
      <c r="A149" s="2" t="s">
        <v>656</v>
      </c>
      <c r="B149" s="2" t="s">
        <v>614</v>
      </c>
      <c r="C149" s="2" t="s">
        <v>615</v>
      </c>
      <c r="D149" s="3" t="s">
        <v>657</v>
      </c>
      <c r="E149" s="6" t="s">
        <v>31</v>
      </c>
      <c r="F149" s="3" t="s">
        <v>633</v>
      </c>
      <c r="G149" s="3" t="s">
        <v>658</v>
      </c>
      <c r="H149" s="3" t="s">
        <v>659</v>
      </c>
      <c r="I149" s="5" t="n">
        <v>2</v>
      </c>
    </row>
    <row r="150" customFormat="false" ht="23.85" hidden="false" customHeight="false" outlineLevel="0" collapsed="false">
      <c r="A150" s="2" t="s">
        <v>660</v>
      </c>
      <c r="B150" s="2" t="s">
        <v>614</v>
      </c>
      <c r="C150" s="2" t="s">
        <v>615</v>
      </c>
      <c r="D150" s="3" t="s">
        <v>661</v>
      </c>
      <c r="E150" s="6" t="s">
        <v>31</v>
      </c>
      <c r="F150" s="3" t="s">
        <v>662</v>
      </c>
      <c r="G150" s="3" t="s">
        <v>663</v>
      </c>
      <c r="H150" s="3" t="s">
        <v>664</v>
      </c>
      <c r="I150" s="5" t="n">
        <v>2</v>
      </c>
    </row>
    <row r="151" customFormat="false" ht="23.85" hidden="false" customHeight="false" outlineLevel="0" collapsed="false">
      <c r="A151" s="2" t="s">
        <v>665</v>
      </c>
      <c r="B151" s="2" t="s">
        <v>614</v>
      </c>
      <c r="C151" s="2" t="s">
        <v>615</v>
      </c>
      <c r="D151" s="3" t="s">
        <v>666</v>
      </c>
      <c r="E151" s="6" t="s">
        <v>31</v>
      </c>
      <c r="F151" s="3" t="s">
        <v>623</v>
      </c>
      <c r="G151" s="3" t="s">
        <v>667</v>
      </c>
      <c r="H151" s="3" t="s">
        <v>668</v>
      </c>
      <c r="I151" s="5" t="n">
        <v>1</v>
      </c>
    </row>
    <row r="152" customFormat="false" ht="23.85" hidden="false" customHeight="false" outlineLevel="0" collapsed="false">
      <c r="A152" s="2" t="s">
        <v>669</v>
      </c>
      <c r="B152" s="2" t="s">
        <v>614</v>
      </c>
      <c r="C152" s="2" t="s">
        <v>615</v>
      </c>
      <c r="D152" s="3" t="s">
        <v>670</v>
      </c>
      <c r="E152" s="7" t="s">
        <v>73</v>
      </c>
      <c r="F152" s="3" t="s">
        <v>139</v>
      </c>
      <c r="G152" s="3" t="s">
        <v>671</v>
      </c>
      <c r="H152" s="3" t="s">
        <v>672</v>
      </c>
      <c r="I152" s="5" t="n">
        <v>2</v>
      </c>
    </row>
    <row r="153" customFormat="false" ht="23.85" hidden="false" customHeight="false" outlineLevel="0" collapsed="false">
      <c r="A153" s="2" t="s">
        <v>673</v>
      </c>
      <c r="B153" s="2" t="s">
        <v>614</v>
      </c>
      <c r="C153" s="2" t="s">
        <v>615</v>
      </c>
      <c r="D153" s="3" t="s">
        <v>674</v>
      </c>
      <c r="E153" s="7" t="s">
        <v>73</v>
      </c>
      <c r="F153" s="3" t="s">
        <v>669</v>
      </c>
      <c r="G153" s="3" t="s">
        <v>675</v>
      </c>
      <c r="H153" s="3" t="s">
        <v>676</v>
      </c>
      <c r="I153" s="5" t="n">
        <v>2</v>
      </c>
    </row>
    <row r="154" customFormat="false" ht="23.85" hidden="false" customHeight="false" outlineLevel="0" collapsed="false">
      <c r="A154" s="2" t="s">
        <v>677</v>
      </c>
      <c r="B154" s="2" t="s">
        <v>614</v>
      </c>
      <c r="C154" s="2" t="s">
        <v>615</v>
      </c>
      <c r="D154" s="3" t="s">
        <v>678</v>
      </c>
      <c r="E154" s="7" t="s">
        <v>73</v>
      </c>
      <c r="F154" s="3" t="s">
        <v>673</v>
      </c>
      <c r="G154" s="3" t="s">
        <v>679</v>
      </c>
      <c r="H154" s="3" t="s">
        <v>680</v>
      </c>
      <c r="I154" s="5" t="n">
        <v>1</v>
      </c>
    </row>
    <row r="155" customFormat="false" ht="23.85" hidden="false" customHeight="false" outlineLevel="0" collapsed="false">
      <c r="A155" s="2" t="s">
        <v>681</v>
      </c>
      <c r="B155" s="2" t="s">
        <v>614</v>
      </c>
      <c r="C155" s="2" t="s">
        <v>615</v>
      </c>
      <c r="D155" s="3" t="s">
        <v>682</v>
      </c>
      <c r="E155" s="6" t="s">
        <v>31</v>
      </c>
      <c r="F155" s="3" t="s">
        <v>683</v>
      </c>
      <c r="G155" s="3" t="s">
        <v>684</v>
      </c>
      <c r="H155" s="3" t="s">
        <v>384</v>
      </c>
      <c r="I155" s="5" t="n">
        <v>2</v>
      </c>
    </row>
    <row r="156" customFormat="false" ht="23.85" hidden="false" customHeight="false" outlineLevel="0" collapsed="false">
      <c r="A156" s="2" t="s">
        <v>685</v>
      </c>
      <c r="B156" s="2" t="s">
        <v>614</v>
      </c>
      <c r="C156" s="2" t="s">
        <v>615</v>
      </c>
      <c r="D156" s="3" t="s">
        <v>686</v>
      </c>
      <c r="E156" s="6" t="s">
        <v>31</v>
      </c>
      <c r="F156" s="3" t="s">
        <v>687</v>
      </c>
      <c r="G156" s="3" t="s">
        <v>688</v>
      </c>
      <c r="H156" s="3" t="s">
        <v>689</v>
      </c>
      <c r="I156" s="5" t="n">
        <v>2</v>
      </c>
    </row>
    <row r="157" customFormat="false" ht="23.85" hidden="false" customHeight="false" outlineLevel="0" collapsed="false">
      <c r="A157" s="2" t="s">
        <v>690</v>
      </c>
      <c r="B157" s="2" t="s">
        <v>614</v>
      </c>
      <c r="C157" s="2" t="s">
        <v>615</v>
      </c>
      <c r="D157" s="3" t="s">
        <v>691</v>
      </c>
      <c r="E157" s="7" t="s">
        <v>73</v>
      </c>
      <c r="F157" s="3" t="s">
        <v>647</v>
      </c>
      <c r="G157" s="3" t="s">
        <v>692</v>
      </c>
      <c r="H157" s="3" t="s">
        <v>693</v>
      </c>
      <c r="I157" s="5" t="n">
        <v>1</v>
      </c>
    </row>
    <row r="158" customFormat="false" ht="23.85" hidden="false" customHeight="false" outlineLevel="0" collapsed="false">
      <c r="A158" s="2" t="s">
        <v>694</v>
      </c>
      <c r="B158" s="2" t="s">
        <v>614</v>
      </c>
      <c r="C158" s="2" t="s">
        <v>615</v>
      </c>
      <c r="D158" s="3" t="s">
        <v>695</v>
      </c>
      <c r="E158" s="7" t="s">
        <v>73</v>
      </c>
      <c r="F158" s="3" t="s">
        <v>681</v>
      </c>
      <c r="G158" s="3" t="s">
        <v>696</v>
      </c>
      <c r="H158" s="3" t="s">
        <v>288</v>
      </c>
      <c r="I158" s="5" t="n">
        <v>1</v>
      </c>
    </row>
    <row r="159" customFormat="false" ht="23.85" hidden="false" customHeight="false" outlineLevel="0" collapsed="false">
      <c r="A159" s="2" t="s">
        <v>697</v>
      </c>
      <c r="B159" s="2" t="s">
        <v>614</v>
      </c>
      <c r="C159" s="2" t="s">
        <v>615</v>
      </c>
      <c r="D159" s="3" t="s">
        <v>698</v>
      </c>
      <c r="E159" s="4" t="s">
        <v>13</v>
      </c>
      <c r="F159" s="3" t="s">
        <v>651</v>
      </c>
      <c r="G159" s="3" t="s">
        <v>699</v>
      </c>
      <c r="H159" s="3" t="s">
        <v>700</v>
      </c>
      <c r="I159" s="5" t="n">
        <v>1</v>
      </c>
    </row>
    <row r="160" customFormat="false" ht="23.85" hidden="false" customHeight="false" outlineLevel="0" collapsed="false">
      <c r="A160" s="2" t="s">
        <v>701</v>
      </c>
      <c r="B160" s="2" t="s">
        <v>702</v>
      </c>
      <c r="C160" s="2" t="s">
        <v>703</v>
      </c>
      <c r="D160" s="3" t="s">
        <v>704</v>
      </c>
      <c r="E160" s="4" t="s">
        <v>13</v>
      </c>
      <c r="F160" s="3" t="s">
        <v>43</v>
      </c>
      <c r="G160" s="3" t="s">
        <v>705</v>
      </c>
      <c r="H160" s="3" t="s">
        <v>706</v>
      </c>
      <c r="I160" s="5" t="n">
        <v>2</v>
      </c>
    </row>
    <row r="161" customFormat="false" ht="23.85" hidden="false" customHeight="false" outlineLevel="0" collapsed="false">
      <c r="A161" s="2" t="s">
        <v>707</v>
      </c>
      <c r="B161" s="2" t="s">
        <v>702</v>
      </c>
      <c r="C161" s="2" t="s">
        <v>703</v>
      </c>
      <c r="D161" s="3" t="s">
        <v>708</v>
      </c>
      <c r="E161" s="4" t="s">
        <v>13</v>
      </c>
      <c r="F161" s="3" t="s">
        <v>701</v>
      </c>
      <c r="G161" s="3" t="s">
        <v>709</v>
      </c>
      <c r="H161" s="3" t="s">
        <v>710</v>
      </c>
      <c r="I161" s="5" t="n">
        <v>1</v>
      </c>
    </row>
    <row r="162" customFormat="false" ht="23.85" hidden="false" customHeight="false" outlineLevel="0" collapsed="false">
      <c r="A162" s="2" t="s">
        <v>711</v>
      </c>
      <c r="B162" s="2" t="s">
        <v>702</v>
      </c>
      <c r="C162" s="2" t="s">
        <v>703</v>
      </c>
      <c r="D162" s="3" t="s">
        <v>712</v>
      </c>
      <c r="E162" s="4" t="s">
        <v>13</v>
      </c>
      <c r="F162" s="3" t="s">
        <v>713</v>
      </c>
      <c r="G162" s="3" t="s">
        <v>714</v>
      </c>
      <c r="H162" s="3" t="s">
        <v>715</v>
      </c>
      <c r="I162" s="5" t="n">
        <v>2</v>
      </c>
    </row>
    <row r="163" customFormat="false" ht="23.85" hidden="false" customHeight="false" outlineLevel="0" collapsed="false">
      <c r="A163" s="2" t="s">
        <v>716</v>
      </c>
      <c r="B163" s="2" t="s">
        <v>702</v>
      </c>
      <c r="C163" s="2" t="s">
        <v>703</v>
      </c>
      <c r="D163" s="3" t="s">
        <v>717</v>
      </c>
      <c r="E163" s="4" t="s">
        <v>13</v>
      </c>
      <c r="F163" s="3" t="s">
        <v>718</v>
      </c>
      <c r="G163" s="3" t="s">
        <v>719</v>
      </c>
      <c r="H163" s="3" t="s">
        <v>720</v>
      </c>
      <c r="I163" s="5" t="n">
        <v>2</v>
      </c>
    </row>
    <row r="164" customFormat="false" ht="23.85" hidden="false" customHeight="false" outlineLevel="0" collapsed="false">
      <c r="A164" s="2" t="s">
        <v>721</v>
      </c>
      <c r="B164" s="2" t="s">
        <v>702</v>
      </c>
      <c r="C164" s="2" t="s">
        <v>703</v>
      </c>
      <c r="D164" s="3" t="s">
        <v>722</v>
      </c>
      <c r="E164" s="4" t="s">
        <v>13</v>
      </c>
      <c r="F164" s="3" t="s">
        <v>711</v>
      </c>
      <c r="G164" s="3" t="s">
        <v>723</v>
      </c>
      <c r="H164" s="3" t="s">
        <v>724</v>
      </c>
      <c r="I164" s="5" t="n">
        <v>2</v>
      </c>
    </row>
    <row r="165" customFormat="false" ht="23.85" hidden="false" customHeight="false" outlineLevel="0" collapsed="false">
      <c r="A165" s="2" t="s">
        <v>725</v>
      </c>
      <c r="B165" s="2" t="s">
        <v>702</v>
      </c>
      <c r="C165" s="2" t="s">
        <v>703</v>
      </c>
      <c r="D165" s="3" t="s">
        <v>726</v>
      </c>
      <c r="E165" s="6" t="s">
        <v>31</v>
      </c>
      <c r="F165" s="3" t="s">
        <v>711</v>
      </c>
      <c r="G165" s="3" t="s">
        <v>727</v>
      </c>
      <c r="H165" s="3" t="s">
        <v>728</v>
      </c>
      <c r="I165" s="5" t="n">
        <v>1</v>
      </c>
    </row>
    <row r="166" customFormat="false" ht="23.85" hidden="false" customHeight="false" outlineLevel="0" collapsed="false">
      <c r="A166" s="2" t="s">
        <v>729</v>
      </c>
      <c r="B166" s="2" t="s">
        <v>702</v>
      </c>
      <c r="C166" s="2" t="s">
        <v>703</v>
      </c>
      <c r="D166" s="3" t="s">
        <v>730</v>
      </c>
      <c r="E166" s="4" t="s">
        <v>13</v>
      </c>
      <c r="F166" s="3" t="s">
        <v>711</v>
      </c>
      <c r="G166" s="3" t="s">
        <v>731</v>
      </c>
      <c r="H166" s="3" t="s">
        <v>732</v>
      </c>
      <c r="I166" s="5" t="n">
        <v>1</v>
      </c>
    </row>
    <row r="167" customFormat="false" ht="23.85" hidden="false" customHeight="false" outlineLevel="0" collapsed="false">
      <c r="A167" s="2" t="s">
        <v>733</v>
      </c>
      <c r="B167" s="2" t="s">
        <v>702</v>
      </c>
      <c r="C167" s="2" t="s">
        <v>703</v>
      </c>
      <c r="D167" s="3" t="s">
        <v>734</v>
      </c>
      <c r="E167" s="6" t="s">
        <v>31</v>
      </c>
      <c r="F167" s="3" t="s">
        <v>711</v>
      </c>
      <c r="G167" s="3" t="s">
        <v>735</v>
      </c>
      <c r="H167" s="3" t="s">
        <v>736</v>
      </c>
      <c r="I167" s="5" t="n">
        <v>1</v>
      </c>
    </row>
    <row r="168" customFormat="false" ht="15" hidden="false" customHeight="false" outlineLevel="0" collapsed="false">
      <c r="A168" s="2" t="s">
        <v>737</v>
      </c>
      <c r="B168" s="2" t="s">
        <v>702</v>
      </c>
      <c r="C168" s="2" t="s">
        <v>703</v>
      </c>
      <c r="D168" s="3" t="s">
        <v>738</v>
      </c>
      <c r="E168" s="4" t="s">
        <v>13</v>
      </c>
      <c r="F168" s="3" t="s">
        <v>739</v>
      </c>
      <c r="G168" s="3" t="s">
        <v>740</v>
      </c>
      <c r="H168" s="3" t="s">
        <v>384</v>
      </c>
      <c r="I168" s="5" t="n">
        <v>1</v>
      </c>
    </row>
    <row r="169" customFormat="false" ht="23.85" hidden="false" customHeight="false" outlineLevel="0" collapsed="false">
      <c r="A169" s="2" t="s">
        <v>741</v>
      </c>
      <c r="B169" s="2" t="s">
        <v>702</v>
      </c>
      <c r="C169" s="2" t="s">
        <v>703</v>
      </c>
      <c r="D169" s="3" t="s">
        <v>742</v>
      </c>
      <c r="E169" s="4" t="s">
        <v>13</v>
      </c>
      <c r="F169" s="3" t="s">
        <v>743</v>
      </c>
      <c r="G169" s="3" t="s">
        <v>744</v>
      </c>
      <c r="H169" s="3" t="s">
        <v>745</v>
      </c>
      <c r="I169" s="5" t="n">
        <v>2</v>
      </c>
    </row>
    <row r="170" customFormat="false" ht="23.85" hidden="false" customHeight="false" outlineLevel="0" collapsed="false">
      <c r="A170" s="2" t="s">
        <v>746</v>
      </c>
      <c r="B170" s="2" t="s">
        <v>702</v>
      </c>
      <c r="C170" s="2" t="s">
        <v>703</v>
      </c>
      <c r="D170" s="3" t="s">
        <v>747</v>
      </c>
      <c r="E170" s="7" t="s">
        <v>73</v>
      </c>
      <c r="F170" s="3" t="s">
        <v>737</v>
      </c>
      <c r="G170" s="3" t="s">
        <v>748</v>
      </c>
      <c r="H170" s="3" t="s">
        <v>288</v>
      </c>
      <c r="I170" s="5" t="n">
        <v>1</v>
      </c>
    </row>
    <row r="171" customFormat="false" ht="23.85" hidden="false" customHeight="false" outlineLevel="0" collapsed="false">
      <c r="A171" s="2" t="s">
        <v>749</v>
      </c>
      <c r="B171" s="2" t="s">
        <v>702</v>
      </c>
      <c r="C171" s="2" t="s">
        <v>703</v>
      </c>
      <c r="D171" s="3" t="s">
        <v>750</v>
      </c>
      <c r="E171" s="6" t="s">
        <v>31</v>
      </c>
      <c r="F171" s="3" t="s">
        <v>711</v>
      </c>
      <c r="G171" s="3" t="s">
        <v>751</v>
      </c>
      <c r="H171" s="3" t="s">
        <v>752</v>
      </c>
      <c r="I171" s="5" t="n">
        <v>1</v>
      </c>
    </row>
    <row r="172" customFormat="false" ht="23.85" hidden="false" customHeight="false" outlineLevel="0" collapsed="false">
      <c r="A172" s="2" t="s">
        <v>753</v>
      </c>
      <c r="B172" s="2" t="s">
        <v>754</v>
      </c>
      <c r="C172" s="2" t="s">
        <v>755</v>
      </c>
      <c r="D172" s="3" t="s">
        <v>756</v>
      </c>
      <c r="E172" s="4" t="s">
        <v>13</v>
      </c>
      <c r="F172" s="3" t="s">
        <v>43</v>
      </c>
      <c r="G172" s="3" t="s">
        <v>757</v>
      </c>
      <c r="H172" s="3" t="s">
        <v>758</v>
      </c>
      <c r="I172" s="5" t="n">
        <v>2</v>
      </c>
    </row>
    <row r="173" customFormat="false" ht="23.85" hidden="false" customHeight="false" outlineLevel="0" collapsed="false">
      <c r="A173" s="2" t="s">
        <v>759</v>
      </c>
      <c r="B173" s="2" t="s">
        <v>754</v>
      </c>
      <c r="C173" s="2" t="s">
        <v>755</v>
      </c>
      <c r="D173" s="3" t="s">
        <v>760</v>
      </c>
      <c r="E173" s="4" t="s">
        <v>13</v>
      </c>
      <c r="F173" s="3" t="s">
        <v>753</v>
      </c>
      <c r="G173" s="3" t="s">
        <v>761</v>
      </c>
      <c r="H173" s="3" t="s">
        <v>762</v>
      </c>
      <c r="I173" s="5" t="n">
        <v>1</v>
      </c>
    </row>
    <row r="174" customFormat="false" ht="23.85" hidden="false" customHeight="false" outlineLevel="0" collapsed="false">
      <c r="A174" s="2" t="s">
        <v>763</v>
      </c>
      <c r="B174" s="2" t="s">
        <v>754</v>
      </c>
      <c r="C174" s="2" t="s">
        <v>755</v>
      </c>
      <c r="D174" s="3" t="s">
        <v>764</v>
      </c>
      <c r="E174" s="4" t="s">
        <v>13</v>
      </c>
      <c r="F174" s="3" t="s">
        <v>765</v>
      </c>
      <c r="G174" s="3" t="s">
        <v>766</v>
      </c>
      <c r="H174" s="3" t="s">
        <v>767</v>
      </c>
      <c r="I174" s="5" t="n">
        <v>2</v>
      </c>
    </row>
    <row r="175" customFormat="false" ht="35.05" hidden="false" customHeight="false" outlineLevel="0" collapsed="false">
      <c r="A175" s="2" t="s">
        <v>768</v>
      </c>
      <c r="B175" s="2" t="s">
        <v>754</v>
      </c>
      <c r="C175" s="2" t="s">
        <v>755</v>
      </c>
      <c r="D175" s="3" t="s">
        <v>769</v>
      </c>
      <c r="E175" s="6" t="s">
        <v>31</v>
      </c>
      <c r="F175" s="3" t="s">
        <v>217</v>
      </c>
      <c r="G175" s="3" t="s">
        <v>770</v>
      </c>
      <c r="H175" s="3" t="s">
        <v>771</v>
      </c>
      <c r="I175" s="5" t="n">
        <v>2</v>
      </c>
    </row>
    <row r="176" customFormat="false" ht="35.05" hidden="false" customHeight="false" outlineLevel="0" collapsed="false">
      <c r="A176" s="2" t="s">
        <v>772</v>
      </c>
      <c r="B176" s="2" t="s">
        <v>754</v>
      </c>
      <c r="C176" s="2" t="s">
        <v>755</v>
      </c>
      <c r="D176" s="3" t="s">
        <v>773</v>
      </c>
      <c r="E176" s="4" t="s">
        <v>13</v>
      </c>
      <c r="F176" s="3" t="s">
        <v>774</v>
      </c>
      <c r="G176" s="3" t="s">
        <v>775</v>
      </c>
      <c r="H176" s="3" t="s">
        <v>776</v>
      </c>
      <c r="I176" s="5" t="n">
        <v>2</v>
      </c>
    </row>
    <row r="177" customFormat="false" ht="23.85" hidden="false" customHeight="false" outlineLevel="0" collapsed="false">
      <c r="A177" s="2" t="s">
        <v>777</v>
      </c>
      <c r="B177" s="2" t="s">
        <v>754</v>
      </c>
      <c r="C177" s="2" t="s">
        <v>755</v>
      </c>
      <c r="D177" s="3" t="s">
        <v>778</v>
      </c>
      <c r="E177" s="4" t="s">
        <v>13</v>
      </c>
      <c r="F177" s="3" t="s">
        <v>772</v>
      </c>
      <c r="G177" s="3" t="s">
        <v>779</v>
      </c>
      <c r="H177" s="3" t="s">
        <v>780</v>
      </c>
      <c r="I177" s="5" t="n">
        <v>1</v>
      </c>
    </row>
    <row r="178" customFormat="false" ht="23.85" hidden="false" customHeight="false" outlineLevel="0" collapsed="false">
      <c r="A178" s="2" t="s">
        <v>781</v>
      </c>
      <c r="B178" s="2" t="s">
        <v>754</v>
      </c>
      <c r="C178" s="2" t="s">
        <v>755</v>
      </c>
      <c r="D178" s="3" t="s">
        <v>782</v>
      </c>
      <c r="E178" s="6" t="s">
        <v>31</v>
      </c>
      <c r="F178" s="3" t="s">
        <v>763</v>
      </c>
      <c r="G178" s="3" t="s">
        <v>783</v>
      </c>
      <c r="H178" s="3" t="s">
        <v>784</v>
      </c>
      <c r="I178" s="5" t="n">
        <v>2</v>
      </c>
    </row>
    <row r="179" customFormat="false" ht="23.85" hidden="false" customHeight="false" outlineLevel="0" collapsed="false">
      <c r="A179" s="2" t="s">
        <v>785</v>
      </c>
      <c r="B179" s="2" t="s">
        <v>754</v>
      </c>
      <c r="C179" s="2" t="s">
        <v>755</v>
      </c>
      <c r="D179" s="3" t="s">
        <v>786</v>
      </c>
      <c r="E179" s="6" t="s">
        <v>31</v>
      </c>
      <c r="F179" s="3" t="s">
        <v>763</v>
      </c>
      <c r="G179" s="3" t="s">
        <v>787</v>
      </c>
      <c r="H179" s="3" t="s">
        <v>788</v>
      </c>
      <c r="I179" s="5" t="n">
        <v>1</v>
      </c>
    </row>
    <row r="180" customFormat="false" ht="35.05" hidden="false" customHeight="false" outlineLevel="0" collapsed="false">
      <c r="A180" s="2" t="s">
        <v>789</v>
      </c>
      <c r="B180" s="2" t="s">
        <v>754</v>
      </c>
      <c r="C180" s="2" t="s">
        <v>755</v>
      </c>
      <c r="D180" s="3" t="s">
        <v>790</v>
      </c>
      <c r="E180" s="7" t="s">
        <v>73</v>
      </c>
      <c r="F180" s="3" t="s">
        <v>791</v>
      </c>
      <c r="G180" s="3" t="s">
        <v>792</v>
      </c>
      <c r="H180" s="3" t="s">
        <v>793</v>
      </c>
      <c r="I180" s="5" t="n">
        <v>2</v>
      </c>
    </row>
    <row r="181" customFormat="false" ht="23.85" hidden="false" customHeight="false" outlineLevel="0" collapsed="false">
      <c r="A181" s="2" t="s">
        <v>794</v>
      </c>
      <c r="B181" s="2" t="s">
        <v>754</v>
      </c>
      <c r="C181" s="2" t="s">
        <v>755</v>
      </c>
      <c r="D181" s="3" t="s">
        <v>795</v>
      </c>
      <c r="E181" s="6" t="s">
        <v>31</v>
      </c>
      <c r="F181" s="3" t="s">
        <v>796</v>
      </c>
      <c r="G181" s="3" t="s">
        <v>797</v>
      </c>
      <c r="H181" s="3" t="s">
        <v>384</v>
      </c>
      <c r="I181" s="5" t="n">
        <v>2</v>
      </c>
    </row>
    <row r="182" customFormat="false" ht="23.85" hidden="false" customHeight="false" outlineLevel="0" collapsed="false">
      <c r="A182" s="2" t="s">
        <v>798</v>
      </c>
      <c r="B182" s="2" t="s">
        <v>754</v>
      </c>
      <c r="C182" s="2" t="s">
        <v>755</v>
      </c>
      <c r="D182" s="3" t="s">
        <v>799</v>
      </c>
      <c r="E182" s="6" t="s">
        <v>31</v>
      </c>
      <c r="F182" s="3" t="s">
        <v>781</v>
      </c>
      <c r="G182" s="3" t="s">
        <v>800</v>
      </c>
      <c r="H182" s="3" t="s">
        <v>801</v>
      </c>
      <c r="I182" s="5" t="n">
        <v>2</v>
      </c>
    </row>
    <row r="183" customFormat="false" ht="23.85" hidden="false" customHeight="false" outlineLevel="0" collapsed="false">
      <c r="A183" s="2" t="s">
        <v>802</v>
      </c>
      <c r="B183" s="2" t="s">
        <v>754</v>
      </c>
      <c r="C183" s="2" t="s">
        <v>755</v>
      </c>
      <c r="D183" s="3" t="s">
        <v>803</v>
      </c>
      <c r="E183" s="7" t="s">
        <v>73</v>
      </c>
      <c r="F183" s="3" t="s">
        <v>794</v>
      </c>
      <c r="G183" s="3" t="s">
        <v>804</v>
      </c>
      <c r="H183" s="3" t="s">
        <v>288</v>
      </c>
      <c r="I183" s="5" t="n">
        <v>1</v>
      </c>
    </row>
    <row r="184" customFormat="false" ht="15" hidden="false" customHeight="false" outlineLevel="0" collapsed="false">
      <c r="A184" s="2" t="s">
        <v>805</v>
      </c>
      <c r="B184" s="2" t="s">
        <v>754</v>
      </c>
      <c r="C184" s="2" t="s">
        <v>755</v>
      </c>
      <c r="D184" s="3" t="s">
        <v>806</v>
      </c>
      <c r="E184" s="7" t="s">
        <v>73</v>
      </c>
      <c r="F184" s="3" t="s">
        <v>772</v>
      </c>
      <c r="G184" s="3" t="s">
        <v>807</v>
      </c>
      <c r="H184" s="3" t="s">
        <v>808</v>
      </c>
      <c r="I184" s="5" t="n">
        <v>1</v>
      </c>
    </row>
    <row r="185" customFormat="false" ht="35.05" hidden="false" customHeight="false" outlineLevel="0" collapsed="false">
      <c r="A185" s="2" t="s">
        <v>809</v>
      </c>
      <c r="B185" s="2" t="s">
        <v>754</v>
      </c>
      <c r="C185" s="2" t="s">
        <v>755</v>
      </c>
      <c r="D185" s="3" t="s">
        <v>810</v>
      </c>
      <c r="E185" s="6" t="s">
        <v>31</v>
      </c>
      <c r="F185" s="3" t="s">
        <v>811</v>
      </c>
      <c r="G185" s="3" t="s">
        <v>812</v>
      </c>
      <c r="H185" s="3" t="s">
        <v>813</v>
      </c>
      <c r="I185" s="5" t="n">
        <v>2</v>
      </c>
    </row>
    <row r="186" customFormat="false" ht="23.85" hidden="false" customHeight="false" outlineLevel="0" collapsed="false">
      <c r="A186" s="2" t="s">
        <v>814</v>
      </c>
      <c r="B186" s="2" t="s">
        <v>754</v>
      </c>
      <c r="C186" s="2" t="s">
        <v>755</v>
      </c>
      <c r="D186" s="3" t="s">
        <v>815</v>
      </c>
      <c r="E186" s="6" t="s">
        <v>31</v>
      </c>
      <c r="F186" s="3" t="s">
        <v>809</v>
      </c>
      <c r="G186" s="3" t="s">
        <v>816</v>
      </c>
      <c r="H186" s="3" t="s">
        <v>817</v>
      </c>
      <c r="I186" s="5" t="n">
        <v>1</v>
      </c>
    </row>
    <row r="187" customFormat="false" ht="23.85" hidden="false" customHeight="false" outlineLevel="0" collapsed="false">
      <c r="A187" s="2" t="s">
        <v>818</v>
      </c>
      <c r="B187" s="2" t="s">
        <v>819</v>
      </c>
      <c r="C187" s="2" t="s">
        <v>820</v>
      </c>
      <c r="D187" s="3" t="s">
        <v>821</v>
      </c>
      <c r="E187" s="4" t="s">
        <v>13</v>
      </c>
      <c r="F187" s="3" t="s">
        <v>9</v>
      </c>
      <c r="G187" s="3" t="s">
        <v>822</v>
      </c>
      <c r="H187" s="3" t="s">
        <v>823</v>
      </c>
      <c r="I187" s="5" t="n">
        <v>1</v>
      </c>
    </row>
    <row r="188" customFormat="false" ht="23.85" hidden="false" customHeight="false" outlineLevel="0" collapsed="false">
      <c r="A188" s="2" t="s">
        <v>824</v>
      </c>
      <c r="B188" s="2" t="s">
        <v>819</v>
      </c>
      <c r="C188" s="2" t="s">
        <v>820</v>
      </c>
      <c r="D188" s="3" t="s">
        <v>825</v>
      </c>
      <c r="E188" s="4" t="s">
        <v>13</v>
      </c>
      <c r="F188" s="3" t="s">
        <v>818</v>
      </c>
      <c r="G188" s="3" t="s">
        <v>826</v>
      </c>
      <c r="H188" s="3" t="s">
        <v>827</v>
      </c>
      <c r="I188" s="5" t="n">
        <v>1</v>
      </c>
    </row>
    <row r="189" customFormat="false" ht="23.85" hidden="false" customHeight="false" outlineLevel="0" collapsed="false">
      <c r="A189" s="2" t="s">
        <v>828</v>
      </c>
      <c r="B189" s="2" t="s">
        <v>819</v>
      </c>
      <c r="C189" s="2" t="s">
        <v>820</v>
      </c>
      <c r="D189" s="3" t="s">
        <v>829</v>
      </c>
      <c r="E189" s="7" t="s">
        <v>73</v>
      </c>
      <c r="F189" s="3" t="s">
        <v>824</v>
      </c>
      <c r="G189" s="3" t="s">
        <v>830</v>
      </c>
      <c r="H189" s="3" t="s">
        <v>831</v>
      </c>
      <c r="I189" s="5" t="n">
        <v>1</v>
      </c>
    </row>
    <row r="190" customFormat="false" ht="23.85" hidden="false" customHeight="false" outlineLevel="0" collapsed="false">
      <c r="A190" s="2" t="s">
        <v>832</v>
      </c>
      <c r="B190" s="2" t="s">
        <v>819</v>
      </c>
      <c r="C190" s="2" t="s">
        <v>820</v>
      </c>
      <c r="D190" s="3" t="s">
        <v>833</v>
      </c>
      <c r="E190" s="4" t="s">
        <v>13</v>
      </c>
      <c r="F190" s="3" t="s">
        <v>824</v>
      </c>
      <c r="G190" s="3" t="s">
        <v>834</v>
      </c>
      <c r="H190" s="3" t="s">
        <v>835</v>
      </c>
      <c r="I190" s="5" t="n">
        <v>2</v>
      </c>
    </row>
    <row r="191" customFormat="false" ht="23.85" hidden="false" customHeight="false" outlineLevel="0" collapsed="false">
      <c r="A191" s="2" t="s">
        <v>836</v>
      </c>
      <c r="B191" s="2" t="s">
        <v>819</v>
      </c>
      <c r="C191" s="2" t="s">
        <v>820</v>
      </c>
      <c r="D191" s="3" t="s">
        <v>837</v>
      </c>
      <c r="E191" s="4" t="s">
        <v>13</v>
      </c>
      <c r="F191" s="3" t="s">
        <v>832</v>
      </c>
      <c r="G191" s="3" t="s">
        <v>838</v>
      </c>
      <c r="H191" s="3" t="s">
        <v>839</v>
      </c>
      <c r="I191" s="5" t="n">
        <v>2</v>
      </c>
    </row>
    <row r="192" customFormat="false" ht="23.85" hidden="false" customHeight="false" outlineLevel="0" collapsed="false">
      <c r="A192" s="2" t="s">
        <v>840</v>
      </c>
      <c r="B192" s="2" t="s">
        <v>819</v>
      </c>
      <c r="C192" s="2" t="s">
        <v>820</v>
      </c>
      <c r="D192" s="3" t="s">
        <v>841</v>
      </c>
      <c r="E192" s="4" t="s">
        <v>13</v>
      </c>
      <c r="F192" s="3" t="s">
        <v>832</v>
      </c>
      <c r="G192" s="3" t="s">
        <v>842</v>
      </c>
      <c r="H192" s="3" t="s">
        <v>843</v>
      </c>
      <c r="I192" s="5" t="n">
        <v>2</v>
      </c>
    </row>
    <row r="193" customFormat="false" ht="23.85" hidden="false" customHeight="false" outlineLevel="0" collapsed="false">
      <c r="A193" s="2" t="s">
        <v>844</v>
      </c>
      <c r="B193" s="2" t="s">
        <v>819</v>
      </c>
      <c r="C193" s="2" t="s">
        <v>820</v>
      </c>
      <c r="D193" s="3" t="s">
        <v>845</v>
      </c>
      <c r="E193" s="4" t="s">
        <v>13</v>
      </c>
      <c r="F193" s="3" t="s">
        <v>832</v>
      </c>
      <c r="G193" s="3" t="s">
        <v>846</v>
      </c>
      <c r="H193" s="3" t="s">
        <v>847</v>
      </c>
      <c r="I193" s="5" t="n">
        <v>2</v>
      </c>
    </row>
    <row r="194" customFormat="false" ht="23.85" hidden="false" customHeight="false" outlineLevel="0" collapsed="false">
      <c r="A194" s="2" t="s">
        <v>848</v>
      </c>
      <c r="B194" s="2" t="s">
        <v>819</v>
      </c>
      <c r="C194" s="2" t="s">
        <v>820</v>
      </c>
      <c r="D194" s="3" t="s">
        <v>849</v>
      </c>
      <c r="E194" s="4" t="s">
        <v>13</v>
      </c>
      <c r="F194" s="3" t="s">
        <v>836</v>
      </c>
      <c r="G194" s="3" t="s">
        <v>850</v>
      </c>
      <c r="H194" s="3" t="s">
        <v>851</v>
      </c>
      <c r="I194" s="5" t="n">
        <v>2</v>
      </c>
    </row>
    <row r="195" customFormat="false" ht="23.85" hidden="false" customHeight="false" outlineLevel="0" collapsed="false">
      <c r="A195" s="2" t="s">
        <v>852</v>
      </c>
      <c r="B195" s="2" t="s">
        <v>819</v>
      </c>
      <c r="C195" s="2" t="s">
        <v>820</v>
      </c>
      <c r="D195" s="3" t="s">
        <v>853</v>
      </c>
      <c r="E195" s="4" t="s">
        <v>13</v>
      </c>
      <c r="F195" s="3" t="s">
        <v>844</v>
      </c>
      <c r="G195" s="3" t="s">
        <v>854</v>
      </c>
      <c r="H195" s="3" t="s">
        <v>855</v>
      </c>
      <c r="I195" s="5" t="n">
        <v>2</v>
      </c>
    </row>
    <row r="196" customFormat="false" ht="23.85" hidden="false" customHeight="false" outlineLevel="0" collapsed="false">
      <c r="A196" s="2" t="s">
        <v>856</v>
      </c>
      <c r="B196" s="2" t="s">
        <v>819</v>
      </c>
      <c r="C196" s="2" t="s">
        <v>820</v>
      </c>
      <c r="D196" s="3" t="s">
        <v>857</v>
      </c>
      <c r="E196" s="6" t="s">
        <v>31</v>
      </c>
      <c r="F196" s="3" t="s">
        <v>824</v>
      </c>
      <c r="G196" s="3" t="s">
        <v>858</v>
      </c>
      <c r="H196" s="3" t="s">
        <v>859</v>
      </c>
      <c r="I196" s="5" t="n">
        <v>2</v>
      </c>
    </row>
    <row r="197" customFormat="false" ht="23.85" hidden="false" customHeight="false" outlineLevel="0" collapsed="false">
      <c r="A197" s="2" t="s">
        <v>860</v>
      </c>
      <c r="B197" s="2" t="s">
        <v>819</v>
      </c>
      <c r="C197" s="2" t="s">
        <v>820</v>
      </c>
      <c r="D197" s="3" t="s">
        <v>861</v>
      </c>
      <c r="E197" s="6" t="s">
        <v>31</v>
      </c>
      <c r="F197" s="3" t="s">
        <v>824</v>
      </c>
      <c r="G197" s="3" t="s">
        <v>862</v>
      </c>
      <c r="H197" s="3" t="s">
        <v>863</v>
      </c>
      <c r="I197" s="5" t="n">
        <v>1</v>
      </c>
    </row>
    <row r="198" customFormat="false" ht="23.85" hidden="false" customHeight="false" outlineLevel="0" collapsed="false">
      <c r="A198" s="2" t="s">
        <v>864</v>
      </c>
      <c r="B198" s="2" t="s">
        <v>819</v>
      </c>
      <c r="C198" s="2" t="s">
        <v>820</v>
      </c>
      <c r="D198" s="3" t="s">
        <v>865</v>
      </c>
      <c r="E198" s="6" t="s">
        <v>31</v>
      </c>
      <c r="F198" s="3" t="s">
        <v>824</v>
      </c>
      <c r="G198" s="3" t="s">
        <v>866</v>
      </c>
      <c r="H198" s="3" t="s">
        <v>867</v>
      </c>
      <c r="I198" s="5" t="n">
        <v>1</v>
      </c>
    </row>
    <row r="199" customFormat="false" ht="23.85" hidden="false" customHeight="false" outlineLevel="0" collapsed="false">
      <c r="A199" s="2" t="s">
        <v>868</v>
      </c>
      <c r="B199" s="2" t="s">
        <v>819</v>
      </c>
      <c r="C199" s="2" t="s">
        <v>820</v>
      </c>
      <c r="D199" s="3" t="s">
        <v>869</v>
      </c>
      <c r="E199" s="4" t="s">
        <v>13</v>
      </c>
      <c r="F199" s="3" t="s">
        <v>848</v>
      </c>
      <c r="G199" s="3" t="s">
        <v>870</v>
      </c>
      <c r="H199" s="3" t="s">
        <v>871</v>
      </c>
      <c r="I199" s="5" t="n">
        <v>1</v>
      </c>
    </row>
    <row r="200" customFormat="false" ht="23.85" hidden="false" customHeight="false" outlineLevel="0" collapsed="false">
      <c r="A200" s="2" t="s">
        <v>872</v>
      </c>
      <c r="B200" s="2" t="s">
        <v>819</v>
      </c>
      <c r="C200" s="2" t="s">
        <v>820</v>
      </c>
      <c r="D200" s="3" t="s">
        <v>873</v>
      </c>
      <c r="E200" s="7" t="s">
        <v>73</v>
      </c>
      <c r="F200" s="3" t="s">
        <v>824</v>
      </c>
      <c r="G200" s="3" t="s">
        <v>874</v>
      </c>
      <c r="H200" s="3" t="s">
        <v>875</v>
      </c>
      <c r="I200" s="5" t="n">
        <v>2</v>
      </c>
    </row>
    <row r="201" customFormat="false" ht="23.85" hidden="false" customHeight="false" outlineLevel="0" collapsed="false">
      <c r="A201" s="2" t="s">
        <v>876</v>
      </c>
      <c r="B201" s="2" t="s">
        <v>819</v>
      </c>
      <c r="C201" s="2" t="s">
        <v>820</v>
      </c>
      <c r="D201" s="3" t="s">
        <v>877</v>
      </c>
      <c r="E201" s="6" t="s">
        <v>31</v>
      </c>
      <c r="F201" s="3" t="s">
        <v>824</v>
      </c>
      <c r="G201" s="3" t="s">
        <v>878</v>
      </c>
      <c r="H201" s="3" t="s">
        <v>879</v>
      </c>
      <c r="I201" s="5" t="n">
        <v>2</v>
      </c>
    </row>
    <row r="202" customFormat="false" ht="23.85" hidden="false" customHeight="false" outlineLevel="0" collapsed="false">
      <c r="A202" s="2" t="s">
        <v>880</v>
      </c>
      <c r="B202" s="2" t="s">
        <v>819</v>
      </c>
      <c r="C202" s="2" t="s">
        <v>820</v>
      </c>
      <c r="D202" s="3" t="s">
        <v>881</v>
      </c>
      <c r="E202" s="4" t="s">
        <v>13</v>
      </c>
      <c r="F202" s="3" t="s">
        <v>844</v>
      </c>
      <c r="G202" s="3" t="s">
        <v>882</v>
      </c>
      <c r="H202" s="3" t="s">
        <v>883</v>
      </c>
      <c r="I202" s="5" t="n">
        <v>1</v>
      </c>
    </row>
    <row r="203" customFormat="false" ht="23.85" hidden="false" customHeight="false" outlineLevel="0" collapsed="false">
      <c r="A203" s="2" t="s">
        <v>884</v>
      </c>
      <c r="B203" s="2" t="s">
        <v>819</v>
      </c>
      <c r="C203" s="2" t="s">
        <v>820</v>
      </c>
      <c r="D203" s="3" t="s">
        <v>885</v>
      </c>
      <c r="E203" s="4" t="s">
        <v>13</v>
      </c>
      <c r="F203" s="3" t="s">
        <v>852</v>
      </c>
      <c r="G203" s="3" t="s">
        <v>886</v>
      </c>
      <c r="H203" s="3" t="s">
        <v>887</v>
      </c>
      <c r="I203" s="5" t="n">
        <v>2</v>
      </c>
    </row>
    <row r="204" customFormat="false" ht="23.85" hidden="false" customHeight="false" outlineLevel="0" collapsed="false">
      <c r="A204" s="2" t="s">
        <v>888</v>
      </c>
      <c r="B204" s="2" t="s">
        <v>819</v>
      </c>
      <c r="C204" s="2" t="s">
        <v>820</v>
      </c>
      <c r="D204" s="3" t="s">
        <v>889</v>
      </c>
      <c r="E204" s="4" t="s">
        <v>13</v>
      </c>
      <c r="F204" s="3" t="s">
        <v>890</v>
      </c>
      <c r="G204" s="3" t="s">
        <v>886</v>
      </c>
      <c r="H204" s="3" t="s">
        <v>891</v>
      </c>
      <c r="I204" s="5" t="n">
        <v>2</v>
      </c>
    </row>
    <row r="205" customFormat="false" ht="23.85" hidden="false" customHeight="false" outlineLevel="0" collapsed="false">
      <c r="A205" s="2" t="s">
        <v>892</v>
      </c>
      <c r="B205" s="2" t="s">
        <v>819</v>
      </c>
      <c r="C205" s="2" t="s">
        <v>820</v>
      </c>
      <c r="D205" s="3" t="s">
        <v>893</v>
      </c>
      <c r="E205" s="4" t="s">
        <v>13</v>
      </c>
      <c r="F205" s="3" t="s">
        <v>894</v>
      </c>
      <c r="G205" s="3" t="s">
        <v>895</v>
      </c>
      <c r="H205" s="3" t="s">
        <v>896</v>
      </c>
      <c r="I205" s="5" t="n">
        <v>2</v>
      </c>
    </row>
    <row r="206" customFormat="false" ht="23.85" hidden="false" customHeight="false" outlineLevel="0" collapsed="false">
      <c r="A206" s="2" t="s">
        <v>897</v>
      </c>
      <c r="B206" s="2" t="s">
        <v>819</v>
      </c>
      <c r="C206" s="2" t="s">
        <v>820</v>
      </c>
      <c r="D206" s="3" t="s">
        <v>898</v>
      </c>
      <c r="E206" s="4" t="s">
        <v>13</v>
      </c>
      <c r="F206" s="3" t="s">
        <v>888</v>
      </c>
      <c r="G206" s="3" t="s">
        <v>899</v>
      </c>
      <c r="H206" s="3" t="s">
        <v>900</v>
      </c>
      <c r="I206" s="5" t="n">
        <v>2</v>
      </c>
    </row>
    <row r="207" customFormat="false" ht="23.85" hidden="false" customHeight="false" outlineLevel="0" collapsed="false">
      <c r="A207" s="2" t="s">
        <v>901</v>
      </c>
      <c r="B207" s="2" t="s">
        <v>819</v>
      </c>
      <c r="C207" s="2" t="s">
        <v>820</v>
      </c>
      <c r="D207" s="3" t="s">
        <v>902</v>
      </c>
      <c r="E207" s="6" t="s">
        <v>31</v>
      </c>
      <c r="F207" s="3" t="s">
        <v>897</v>
      </c>
      <c r="G207" s="3" t="s">
        <v>903</v>
      </c>
      <c r="H207" s="3" t="s">
        <v>904</v>
      </c>
      <c r="I207" s="5" t="n">
        <v>2</v>
      </c>
    </row>
    <row r="208" customFormat="false" ht="23.85" hidden="false" customHeight="false" outlineLevel="0" collapsed="false">
      <c r="A208" s="2" t="s">
        <v>905</v>
      </c>
      <c r="B208" s="2" t="s">
        <v>819</v>
      </c>
      <c r="C208" s="2" t="s">
        <v>820</v>
      </c>
      <c r="D208" s="3" t="s">
        <v>906</v>
      </c>
      <c r="E208" s="6" t="s">
        <v>31</v>
      </c>
      <c r="F208" s="3" t="s">
        <v>884</v>
      </c>
      <c r="G208" s="3" t="s">
        <v>907</v>
      </c>
      <c r="H208" s="3" t="s">
        <v>908</v>
      </c>
      <c r="I208" s="5" t="n">
        <v>2</v>
      </c>
    </row>
    <row r="209" customFormat="false" ht="15" hidden="false" customHeight="false" outlineLevel="0" collapsed="false">
      <c r="A209" s="2" t="s">
        <v>909</v>
      </c>
      <c r="B209" s="2" t="s">
        <v>819</v>
      </c>
      <c r="C209" s="2" t="s">
        <v>820</v>
      </c>
      <c r="D209" s="3" t="s">
        <v>910</v>
      </c>
      <c r="E209" s="6" t="s">
        <v>31</v>
      </c>
      <c r="F209" s="3" t="s">
        <v>852</v>
      </c>
      <c r="G209" s="3" t="s">
        <v>911</v>
      </c>
      <c r="H209" s="3" t="s">
        <v>912</v>
      </c>
      <c r="I209" s="5" t="n">
        <v>2</v>
      </c>
    </row>
    <row r="210" customFormat="false" ht="15" hidden="false" customHeight="false" outlineLevel="0" collapsed="false">
      <c r="A210" s="2" t="s">
        <v>913</v>
      </c>
      <c r="B210" s="2" t="s">
        <v>819</v>
      </c>
      <c r="C210" s="2" t="s">
        <v>820</v>
      </c>
      <c r="D210" s="3" t="s">
        <v>914</v>
      </c>
      <c r="E210" s="6" t="s">
        <v>31</v>
      </c>
      <c r="F210" s="3" t="s">
        <v>909</v>
      </c>
      <c r="G210" s="3" t="s">
        <v>915</v>
      </c>
      <c r="H210" s="3" t="s">
        <v>916</v>
      </c>
      <c r="I210" s="5" t="n">
        <v>1</v>
      </c>
    </row>
    <row r="211" customFormat="false" ht="23.85" hidden="false" customHeight="false" outlineLevel="0" collapsed="false">
      <c r="A211" s="2" t="s">
        <v>917</v>
      </c>
      <c r="B211" s="2" t="s">
        <v>819</v>
      </c>
      <c r="C211" s="2" t="s">
        <v>820</v>
      </c>
      <c r="D211" s="3" t="s">
        <v>918</v>
      </c>
      <c r="E211" s="6" t="s">
        <v>31</v>
      </c>
      <c r="F211" s="3" t="s">
        <v>909</v>
      </c>
      <c r="G211" s="3" t="s">
        <v>919</v>
      </c>
      <c r="H211" s="3" t="s">
        <v>920</v>
      </c>
      <c r="I211" s="5" t="n">
        <v>2</v>
      </c>
    </row>
    <row r="212" customFormat="false" ht="23.85" hidden="false" customHeight="false" outlineLevel="0" collapsed="false">
      <c r="A212" s="2" t="s">
        <v>921</v>
      </c>
      <c r="B212" s="2" t="s">
        <v>819</v>
      </c>
      <c r="C212" s="2" t="s">
        <v>820</v>
      </c>
      <c r="D212" s="3" t="s">
        <v>922</v>
      </c>
      <c r="E212" s="6" t="s">
        <v>31</v>
      </c>
      <c r="F212" s="3" t="s">
        <v>917</v>
      </c>
      <c r="G212" s="3" t="s">
        <v>923</v>
      </c>
      <c r="H212" s="3" t="s">
        <v>924</v>
      </c>
      <c r="I212" s="5" t="n">
        <v>1</v>
      </c>
    </row>
    <row r="213" customFormat="false" ht="15" hidden="false" customHeight="false" outlineLevel="0" collapsed="false">
      <c r="A213" s="2" t="s">
        <v>925</v>
      </c>
      <c r="B213" s="2" t="s">
        <v>819</v>
      </c>
      <c r="C213" s="2" t="s">
        <v>820</v>
      </c>
      <c r="D213" s="3" t="s">
        <v>926</v>
      </c>
      <c r="E213" s="6" t="s">
        <v>31</v>
      </c>
      <c r="F213" s="3" t="s">
        <v>852</v>
      </c>
      <c r="G213" s="3" t="s">
        <v>927</v>
      </c>
      <c r="H213" s="3" t="s">
        <v>928</v>
      </c>
      <c r="I213" s="5" t="n">
        <v>2</v>
      </c>
    </row>
    <row r="214" customFormat="false" ht="23.85" hidden="false" customHeight="false" outlineLevel="0" collapsed="false">
      <c r="A214" s="2" t="s">
        <v>929</v>
      </c>
      <c r="B214" s="2" t="s">
        <v>819</v>
      </c>
      <c r="C214" s="2" t="s">
        <v>820</v>
      </c>
      <c r="D214" s="3" t="s">
        <v>930</v>
      </c>
      <c r="E214" s="6" t="s">
        <v>31</v>
      </c>
      <c r="F214" s="3" t="s">
        <v>925</v>
      </c>
      <c r="G214" s="3" t="s">
        <v>931</v>
      </c>
      <c r="H214" s="3" t="s">
        <v>932</v>
      </c>
      <c r="I214" s="5" t="n">
        <v>2</v>
      </c>
    </row>
    <row r="215" customFormat="false" ht="15" hidden="false" customHeight="false" outlineLevel="0" collapsed="false">
      <c r="A215" s="2" t="s">
        <v>933</v>
      </c>
      <c r="B215" s="2" t="s">
        <v>819</v>
      </c>
      <c r="C215" s="2" t="s">
        <v>820</v>
      </c>
      <c r="D215" s="3" t="s">
        <v>934</v>
      </c>
      <c r="E215" s="7" t="s">
        <v>73</v>
      </c>
      <c r="F215" s="3" t="s">
        <v>925</v>
      </c>
      <c r="G215" s="3" t="s">
        <v>935</v>
      </c>
      <c r="H215" s="3" t="s">
        <v>936</v>
      </c>
      <c r="I215" s="5" t="n">
        <v>1</v>
      </c>
    </row>
    <row r="216" customFormat="false" ht="23.85" hidden="false" customHeight="false" outlineLevel="0" collapsed="false">
      <c r="A216" s="2" t="s">
        <v>937</v>
      </c>
      <c r="B216" s="2" t="s">
        <v>819</v>
      </c>
      <c r="C216" s="2" t="s">
        <v>820</v>
      </c>
      <c r="D216" s="3" t="s">
        <v>938</v>
      </c>
      <c r="E216" s="7" t="s">
        <v>73</v>
      </c>
      <c r="F216" s="3" t="s">
        <v>925</v>
      </c>
      <c r="G216" s="3" t="s">
        <v>939</v>
      </c>
      <c r="H216" s="3" t="s">
        <v>940</v>
      </c>
      <c r="I216" s="5" t="n">
        <v>2</v>
      </c>
    </row>
    <row r="217" customFormat="false" ht="23.85" hidden="false" customHeight="false" outlineLevel="0" collapsed="false">
      <c r="A217" s="2" t="s">
        <v>941</v>
      </c>
      <c r="B217" s="2" t="s">
        <v>819</v>
      </c>
      <c r="C217" s="2" t="s">
        <v>820</v>
      </c>
      <c r="D217" s="3" t="s">
        <v>942</v>
      </c>
      <c r="E217" s="6" t="s">
        <v>31</v>
      </c>
      <c r="F217" s="3" t="s">
        <v>852</v>
      </c>
      <c r="G217" s="3" t="s">
        <v>943</v>
      </c>
      <c r="H217" s="3" t="s">
        <v>944</v>
      </c>
      <c r="I217" s="5" t="n">
        <v>2</v>
      </c>
    </row>
    <row r="218" customFormat="false" ht="15" hidden="false" customHeight="false" outlineLevel="0" collapsed="false">
      <c r="A218" s="2" t="s">
        <v>945</v>
      </c>
      <c r="B218" s="2" t="s">
        <v>819</v>
      </c>
      <c r="C218" s="2" t="s">
        <v>820</v>
      </c>
      <c r="D218" s="3" t="s">
        <v>946</v>
      </c>
      <c r="E218" s="6" t="s">
        <v>31</v>
      </c>
      <c r="F218" s="3" t="s">
        <v>941</v>
      </c>
      <c r="G218" s="3" t="s">
        <v>947</v>
      </c>
      <c r="H218" s="3" t="s">
        <v>948</v>
      </c>
      <c r="I218" s="5" t="n">
        <v>2</v>
      </c>
    </row>
    <row r="219" customFormat="false" ht="15" hidden="false" customHeight="false" outlineLevel="0" collapsed="false">
      <c r="A219" s="2" t="s">
        <v>949</v>
      </c>
      <c r="B219" s="2" t="s">
        <v>819</v>
      </c>
      <c r="C219" s="2" t="s">
        <v>820</v>
      </c>
      <c r="D219" s="3" t="s">
        <v>950</v>
      </c>
      <c r="E219" s="6" t="s">
        <v>31</v>
      </c>
      <c r="F219" s="3" t="s">
        <v>852</v>
      </c>
      <c r="G219" s="3" t="s">
        <v>951</v>
      </c>
      <c r="H219" s="3" t="s">
        <v>952</v>
      </c>
      <c r="I219" s="5" t="n">
        <v>2</v>
      </c>
    </row>
    <row r="220" customFormat="false" ht="23.85" hidden="false" customHeight="false" outlineLevel="0" collapsed="false">
      <c r="A220" s="2" t="s">
        <v>953</v>
      </c>
      <c r="B220" s="2" t="s">
        <v>819</v>
      </c>
      <c r="C220" s="2" t="s">
        <v>820</v>
      </c>
      <c r="D220" s="3" t="s">
        <v>954</v>
      </c>
      <c r="E220" s="6" t="s">
        <v>31</v>
      </c>
      <c r="F220" s="3" t="s">
        <v>949</v>
      </c>
      <c r="G220" s="3" t="s">
        <v>955</v>
      </c>
      <c r="H220" s="3" t="s">
        <v>956</v>
      </c>
      <c r="I220" s="5" t="n">
        <v>2</v>
      </c>
    </row>
    <row r="221" customFormat="false" ht="23.85" hidden="false" customHeight="false" outlineLevel="0" collapsed="false">
      <c r="A221" s="2" t="s">
        <v>957</v>
      </c>
      <c r="B221" s="2" t="s">
        <v>819</v>
      </c>
      <c r="C221" s="2" t="s">
        <v>820</v>
      </c>
      <c r="D221" s="3" t="s">
        <v>958</v>
      </c>
      <c r="E221" s="6" t="s">
        <v>31</v>
      </c>
      <c r="F221" s="3" t="s">
        <v>852</v>
      </c>
      <c r="G221" s="3" t="s">
        <v>959</v>
      </c>
      <c r="H221" s="3" t="s">
        <v>960</v>
      </c>
      <c r="I221" s="5" t="n">
        <v>2</v>
      </c>
    </row>
    <row r="222" customFormat="false" ht="23.85" hidden="false" customHeight="false" outlineLevel="0" collapsed="false">
      <c r="A222" s="2" t="s">
        <v>961</v>
      </c>
      <c r="B222" s="2" t="s">
        <v>819</v>
      </c>
      <c r="C222" s="2" t="s">
        <v>820</v>
      </c>
      <c r="D222" s="3" t="s">
        <v>962</v>
      </c>
      <c r="E222" s="6" t="s">
        <v>31</v>
      </c>
      <c r="F222" s="3" t="s">
        <v>957</v>
      </c>
      <c r="G222" s="3" t="s">
        <v>963</v>
      </c>
      <c r="H222" s="3" t="s">
        <v>964</v>
      </c>
      <c r="I222" s="5" t="n">
        <v>2</v>
      </c>
    </row>
    <row r="223" customFormat="false" ht="15" hidden="false" customHeight="false" outlineLevel="0" collapsed="false">
      <c r="A223" s="2" t="s">
        <v>965</v>
      </c>
      <c r="B223" s="2" t="s">
        <v>819</v>
      </c>
      <c r="C223" s="2" t="s">
        <v>820</v>
      </c>
      <c r="D223" s="3" t="s">
        <v>966</v>
      </c>
      <c r="E223" s="6" t="s">
        <v>31</v>
      </c>
      <c r="F223" s="3" t="s">
        <v>957</v>
      </c>
      <c r="G223" s="3" t="s">
        <v>967</v>
      </c>
      <c r="H223" s="3" t="s">
        <v>968</v>
      </c>
      <c r="I223" s="5" t="n">
        <v>1</v>
      </c>
    </row>
    <row r="224" customFormat="false" ht="15" hidden="false" customHeight="false" outlineLevel="0" collapsed="false">
      <c r="A224" s="2" t="s">
        <v>969</v>
      </c>
      <c r="B224" s="2" t="s">
        <v>819</v>
      </c>
      <c r="C224" s="2" t="s">
        <v>820</v>
      </c>
      <c r="D224" s="3" t="s">
        <v>970</v>
      </c>
      <c r="E224" s="7" t="s">
        <v>73</v>
      </c>
      <c r="F224" s="3" t="s">
        <v>957</v>
      </c>
      <c r="G224" s="3" t="s">
        <v>971</v>
      </c>
      <c r="H224" s="3" t="s">
        <v>972</v>
      </c>
      <c r="I224" s="5" t="n">
        <v>1</v>
      </c>
    </row>
    <row r="225" customFormat="false" ht="23.85" hidden="false" customHeight="false" outlineLevel="0" collapsed="false">
      <c r="A225" s="2" t="s">
        <v>973</v>
      </c>
      <c r="B225" s="2" t="s">
        <v>819</v>
      </c>
      <c r="C225" s="2" t="s">
        <v>820</v>
      </c>
      <c r="D225" s="3" t="s">
        <v>974</v>
      </c>
      <c r="E225" s="7" t="s">
        <v>73</v>
      </c>
      <c r="F225" s="3" t="s">
        <v>852</v>
      </c>
      <c r="G225" s="3" t="s">
        <v>975</v>
      </c>
      <c r="H225" s="3" t="s">
        <v>976</v>
      </c>
      <c r="I225" s="5" t="n">
        <v>2</v>
      </c>
    </row>
    <row r="226" customFormat="false" ht="15" hidden="false" customHeight="false" outlineLevel="0" collapsed="false">
      <c r="A226" s="2" t="s">
        <v>977</v>
      </c>
      <c r="B226" s="2" t="s">
        <v>819</v>
      </c>
      <c r="C226" s="2" t="s">
        <v>820</v>
      </c>
      <c r="D226" s="3" t="s">
        <v>978</v>
      </c>
      <c r="E226" s="7" t="s">
        <v>73</v>
      </c>
      <c r="F226" s="3" t="s">
        <v>973</v>
      </c>
      <c r="G226" s="3" t="s">
        <v>979</v>
      </c>
      <c r="H226" s="3" t="s">
        <v>980</v>
      </c>
      <c r="I226" s="5" t="n">
        <v>1</v>
      </c>
    </row>
    <row r="227" customFormat="false" ht="23.85" hidden="false" customHeight="false" outlineLevel="0" collapsed="false">
      <c r="A227" s="2" t="s">
        <v>981</v>
      </c>
      <c r="B227" s="2" t="s">
        <v>819</v>
      </c>
      <c r="C227" s="2" t="s">
        <v>820</v>
      </c>
      <c r="D227" s="3" t="s">
        <v>982</v>
      </c>
      <c r="E227" s="7" t="s">
        <v>73</v>
      </c>
      <c r="F227" s="3" t="s">
        <v>852</v>
      </c>
      <c r="G227" s="3" t="s">
        <v>983</v>
      </c>
      <c r="H227" s="3" t="s">
        <v>984</v>
      </c>
      <c r="I227" s="5" t="n">
        <v>2</v>
      </c>
    </row>
    <row r="228" customFormat="false" ht="23.85" hidden="false" customHeight="false" outlineLevel="0" collapsed="false">
      <c r="A228" s="2" t="s">
        <v>985</v>
      </c>
      <c r="B228" s="2" t="s">
        <v>819</v>
      </c>
      <c r="C228" s="2" t="s">
        <v>820</v>
      </c>
      <c r="D228" s="3" t="s">
        <v>986</v>
      </c>
      <c r="E228" s="7" t="s">
        <v>73</v>
      </c>
      <c r="F228" s="3" t="s">
        <v>981</v>
      </c>
      <c r="G228" s="3" t="s">
        <v>987</v>
      </c>
      <c r="H228" s="3" t="s">
        <v>988</v>
      </c>
      <c r="I228" s="5" t="n">
        <v>2</v>
      </c>
    </row>
    <row r="229" customFormat="false" ht="23.85" hidden="false" customHeight="false" outlineLevel="0" collapsed="false">
      <c r="A229" s="2" t="s">
        <v>989</v>
      </c>
      <c r="B229" s="2" t="s">
        <v>819</v>
      </c>
      <c r="C229" s="2" t="s">
        <v>820</v>
      </c>
      <c r="D229" s="3" t="s">
        <v>990</v>
      </c>
      <c r="E229" s="7" t="s">
        <v>73</v>
      </c>
      <c r="F229" s="3" t="s">
        <v>991</v>
      </c>
      <c r="G229" s="3" t="s">
        <v>992</v>
      </c>
      <c r="H229" s="3" t="s">
        <v>993</v>
      </c>
      <c r="I229" s="5" t="n">
        <v>2</v>
      </c>
    </row>
    <row r="230" customFormat="false" ht="23.85" hidden="false" customHeight="false" outlineLevel="0" collapsed="false">
      <c r="A230" s="2" t="s">
        <v>994</v>
      </c>
      <c r="B230" s="2" t="s">
        <v>819</v>
      </c>
      <c r="C230" s="2" t="s">
        <v>820</v>
      </c>
      <c r="D230" s="3" t="s">
        <v>995</v>
      </c>
      <c r="E230" s="7" t="s">
        <v>73</v>
      </c>
      <c r="F230" s="3" t="s">
        <v>989</v>
      </c>
      <c r="G230" s="3" t="s">
        <v>996</v>
      </c>
      <c r="H230" s="3" t="s">
        <v>997</v>
      </c>
      <c r="I230" s="5" t="n">
        <v>2</v>
      </c>
    </row>
    <row r="231" customFormat="false" ht="15" hidden="false" customHeight="false" outlineLevel="0" collapsed="false">
      <c r="A231" s="2" t="s">
        <v>998</v>
      </c>
      <c r="B231" s="2" t="s">
        <v>819</v>
      </c>
      <c r="C231" s="2" t="s">
        <v>820</v>
      </c>
      <c r="D231" s="3" t="s">
        <v>999</v>
      </c>
      <c r="E231" s="7" t="s">
        <v>73</v>
      </c>
      <c r="F231" s="3" t="s">
        <v>1000</v>
      </c>
      <c r="G231" s="3" t="s">
        <v>1001</v>
      </c>
      <c r="H231" s="3" t="s">
        <v>1002</v>
      </c>
      <c r="I231" s="5" t="n">
        <v>1</v>
      </c>
    </row>
    <row r="232" customFormat="false" ht="23.85" hidden="false" customHeight="false" outlineLevel="0" collapsed="false">
      <c r="A232" s="2" t="s">
        <v>1003</v>
      </c>
      <c r="B232" s="2" t="s">
        <v>1004</v>
      </c>
      <c r="C232" s="2" t="s">
        <v>1005</v>
      </c>
      <c r="D232" s="3" t="s">
        <v>1006</v>
      </c>
      <c r="E232" s="6" t="s">
        <v>31</v>
      </c>
      <c r="F232" s="3" t="s">
        <v>1007</v>
      </c>
      <c r="G232" s="3" t="s">
        <v>1008</v>
      </c>
      <c r="H232" s="3" t="s">
        <v>1009</v>
      </c>
      <c r="I232" s="5" t="n">
        <v>1</v>
      </c>
    </row>
    <row r="233" customFormat="false" ht="23.85" hidden="false" customHeight="false" outlineLevel="0" collapsed="false">
      <c r="A233" s="2" t="s">
        <v>1010</v>
      </c>
      <c r="B233" s="2" t="s">
        <v>1004</v>
      </c>
      <c r="C233" s="2" t="s">
        <v>1005</v>
      </c>
      <c r="D233" s="3" t="s">
        <v>1011</v>
      </c>
      <c r="E233" s="6" t="s">
        <v>31</v>
      </c>
      <c r="F233" s="3" t="s">
        <v>1003</v>
      </c>
      <c r="G233" s="3" t="s">
        <v>1012</v>
      </c>
      <c r="H233" s="3" t="s">
        <v>1013</v>
      </c>
      <c r="I233" s="5" t="n">
        <v>1</v>
      </c>
    </row>
    <row r="234" customFormat="false" ht="15" hidden="false" customHeight="false" outlineLevel="0" collapsed="false">
      <c r="A234" s="2" t="s">
        <v>1014</v>
      </c>
      <c r="B234" s="2" t="s">
        <v>1004</v>
      </c>
      <c r="C234" s="2" t="s">
        <v>1005</v>
      </c>
      <c r="D234" s="3" t="s">
        <v>1015</v>
      </c>
      <c r="E234" s="6" t="s">
        <v>31</v>
      </c>
      <c r="F234" s="3" t="s">
        <v>59</v>
      </c>
      <c r="G234" s="3" t="s">
        <v>1016</v>
      </c>
      <c r="H234" s="3" t="s">
        <v>1017</v>
      </c>
      <c r="I234" s="5" t="n">
        <v>2</v>
      </c>
    </row>
    <row r="235" customFormat="false" ht="23.85" hidden="false" customHeight="false" outlineLevel="0" collapsed="false">
      <c r="A235" s="2" t="s">
        <v>1018</v>
      </c>
      <c r="B235" s="2" t="s">
        <v>1004</v>
      </c>
      <c r="C235" s="2" t="s">
        <v>1005</v>
      </c>
      <c r="D235" s="3" t="s">
        <v>1019</v>
      </c>
      <c r="E235" s="6" t="s">
        <v>31</v>
      </c>
      <c r="F235" s="3" t="s">
        <v>63</v>
      </c>
      <c r="G235" s="3" t="s">
        <v>1020</v>
      </c>
      <c r="H235" s="3" t="s">
        <v>1021</v>
      </c>
      <c r="I235" s="5" t="n">
        <v>2</v>
      </c>
    </row>
    <row r="236" customFormat="false" ht="23.85" hidden="false" customHeight="false" outlineLevel="0" collapsed="false">
      <c r="A236" s="2" t="s">
        <v>1022</v>
      </c>
      <c r="B236" s="2" t="s">
        <v>1004</v>
      </c>
      <c r="C236" s="2" t="s">
        <v>1005</v>
      </c>
      <c r="D236" s="3" t="s">
        <v>1023</v>
      </c>
      <c r="E236" s="7" t="s">
        <v>73</v>
      </c>
      <c r="F236" s="3" t="s">
        <v>1024</v>
      </c>
      <c r="G236" s="3" t="s">
        <v>1025</v>
      </c>
      <c r="H236" s="3" t="s">
        <v>1026</v>
      </c>
      <c r="I236" s="5" t="n">
        <v>2</v>
      </c>
    </row>
    <row r="237" customFormat="false" ht="15" hidden="false" customHeight="false" outlineLevel="0" collapsed="false">
      <c r="A237" s="2" t="s">
        <v>1027</v>
      </c>
      <c r="B237" s="2" t="s">
        <v>1004</v>
      </c>
      <c r="C237" s="2" t="s">
        <v>1005</v>
      </c>
      <c r="D237" s="3" t="s">
        <v>1028</v>
      </c>
      <c r="E237" s="7" t="s">
        <v>73</v>
      </c>
      <c r="F237" s="3" t="s">
        <v>1003</v>
      </c>
      <c r="G237" s="3" t="s">
        <v>1029</v>
      </c>
      <c r="H237" s="3" t="s">
        <v>1030</v>
      </c>
      <c r="I237" s="5" t="n">
        <v>1</v>
      </c>
    </row>
    <row r="238" customFormat="false" ht="23.85" hidden="false" customHeight="false" outlineLevel="0" collapsed="false">
      <c r="A238" s="2" t="s">
        <v>1031</v>
      </c>
      <c r="B238" s="2" t="s">
        <v>1004</v>
      </c>
      <c r="C238" s="2" t="s">
        <v>1005</v>
      </c>
      <c r="D238" s="3" t="s">
        <v>1032</v>
      </c>
      <c r="E238" s="4" t="s">
        <v>13</v>
      </c>
      <c r="F238" s="3" t="s">
        <v>9</v>
      </c>
      <c r="G238" s="3" t="s">
        <v>1033</v>
      </c>
      <c r="H238" s="3" t="s">
        <v>1034</v>
      </c>
      <c r="I238" s="5" t="n">
        <v>2</v>
      </c>
    </row>
    <row r="239" customFormat="false" ht="23.85" hidden="false" customHeight="false" outlineLevel="0" collapsed="false">
      <c r="A239" s="2" t="s">
        <v>1035</v>
      </c>
      <c r="B239" s="2" t="s">
        <v>1004</v>
      </c>
      <c r="C239" s="2" t="s">
        <v>1005</v>
      </c>
      <c r="D239" s="3" t="s">
        <v>1036</v>
      </c>
      <c r="E239" s="4" t="s">
        <v>13</v>
      </c>
      <c r="F239" s="3" t="s">
        <v>818</v>
      </c>
      <c r="G239" s="3" t="s">
        <v>1037</v>
      </c>
      <c r="H239" s="3" t="s">
        <v>1038</v>
      </c>
      <c r="I239" s="5" t="n">
        <v>1</v>
      </c>
    </row>
    <row r="240" customFormat="false" ht="23.85" hidden="false" customHeight="false" outlineLevel="0" collapsed="false">
      <c r="A240" s="2" t="s">
        <v>1039</v>
      </c>
      <c r="B240" s="2" t="s">
        <v>1004</v>
      </c>
      <c r="C240" s="2" t="s">
        <v>1005</v>
      </c>
      <c r="D240" s="3" t="s">
        <v>1040</v>
      </c>
      <c r="E240" s="4" t="s">
        <v>13</v>
      </c>
      <c r="F240" s="3" t="s">
        <v>1041</v>
      </c>
      <c r="G240" s="3" t="s">
        <v>1042</v>
      </c>
      <c r="H240" s="3" t="s">
        <v>1043</v>
      </c>
      <c r="I240" s="5" t="n">
        <v>2</v>
      </c>
    </row>
    <row r="241" customFormat="false" ht="15" hidden="false" customHeight="false" outlineLevel="0" collapsed="false">
      <c r="A241" s="2" t="s">
        <v>1044</v>
      </c>
      <c r="B241" s="2" t="s">
        <v>1004</v>
      </c>
      <c r="C241" s="2" t="s">
        <v>1005</v>
      </c>
      <c r="D241" s="3" t="s">
        <v>1045</v>
      </c>
      <c r="E241" s="4" t="s">
        <v>13</v>
      </c>
      <c r="F241" s="3" t="s">
        <v>35</v>
      </c>
      <c r="G241" s="3" t="s">
        <v>1046</v>
      </c>
      <c r="H241" s="3" t="s">
        <v>1047</v>
      </c>
      <c r="I241" s="5" t="n">
        <v>1</v>
      </c>
    </row>
    <row r="242" customFormat="false" ht="23.85" hidden="false" customHeight="false" outlineLevel="0" collapsed="false">
      <c r="A242" s="2" t="s">
        <v>1048</v>
      </c>
      <c r="B242" s="2" t="s">
        <v>1004</v>
      </c>
      <c r="C242" s="2" t="s">
        <v>1005</v>
      </c>
      <c r="D242" s="3" t="s">
        <v>1049</v>
      </c>
      <c r="E242" s="4" t="s">
        <v>13</v>
      </c>
      <c r="F242" s="3" t="s">
        <v>1050</v>
      </c>
      <c r="G242" s="3" t="s">
        <v>1051</v>
      </c>
      <c r="H242" s="3" t="s">
        <v>1052</v>
      </c>
      <c r="I242" s="5" t="n">
        <v>2</v>
      </c>
    </row>
    <row r="243" customFormat="false" ht="23.85" hidden="false" customHeight="false" outlineLevel="0" collapsed="false">
      <c r="A243" s="2" t="s">
        <v>1053</v>
      </c>
      <c r="B243" s="2" t="s">
        <v>1004</v>
      </c>
      <c r="C243" s="2" t="s">
        <v>1005</v>
      </c>
      <c r="D243" s="3" t="s">
        <v>1054</v>
      </c>
      <c r="E243" s="6" t="s">
        <v>31</v>
      </c>
      <c r="F243" s="3" t="s">
        <v>1048</v>
      </c>
      <c r="G243" s="3" t="s">
        <v>1055</v>
      </c>
      <c r="H243" s="3" t="s">
        <v>1056</v>
      </c>
      <c r="I243" s="5" t="n">
        <v>2</v>
      </c>
    </row>
    <row r="244" customFormat="false" ht="15" hidden="false" customHeight="false" outlineLevel="0" collapsed="false">
      <c r="A244" s="2" t="s">
        <v>1057</v>
      </c>
      <c r="B244" s="2" t="s">
        <v>1004</v>
      </c>
      <c r="C244" s="2" t="s">
        <v>1005</v>
      </c>
      <c r="D244" s="3" t="s">
        <v>1058</v>
      </c>
      <c r="E244" s="4" t="s">
        <v>13</v>
      </c>
      <c r="F244" s="3" t="s">
        <v>818</v>
      </c>
      <c r="G244" s="3" t="s">
        <v>1059</v>
      </c>
      <c r="H244" s="3" t="s">
        <v>1060</v>
      </c>
      <c r="I244" s="5" t="n">
        <v>1</v>
      </c>
    </row>
    <row r="245" customFormat="false" ht="15" hidden="false" customHeight="false" outlineLevel="0" collapsed="false">
      <c r="A245" s="2" t="s">
        <v>1061</v>
      </c>
      <c r="B245" s="2" t="s">
        <v>1004</v>
      </c>
      <c r="C245" s="2" t="s">
        <v>1005</v>
      </c>
      <c r="D245" s="3" t="s">
        <v>1062</v>
      </c>
      <c r="E245" s="6" t="s">
        <v>31</v>
      </c>
      <c r="F245" s="3" t="s">
        <v>67</v>
      </c>
      <c r="G245" s="3" t="s">
        <v>1063</v>
      </c>
      <c r="H245" s="3" t="s">
        <v>1064</v>
      </c>
      <c r="I245" s="5" t="n">
        <v>1</v>
      </c>
    </row>
    <row r="246" customFormat="false" ht="15" hidden="false" customHeight="false" outlineLevel="0" collapsed="false">
      <c r="A246" s="2" t="s">
        <v>1065</v>
      </c>
      <c r="B246" s="2" t="s">
        <v>1004</v>
      </c>
      <c r="C246" s="2" t="s">
        <v>1005</v>
      </c>
      <c r="D246" s="3" t="s">
        <v>1066</v>
      </c>
      <c r="E246" s="4" t="s">
        <v>13</v>
      </c>
      <c r="F246" s="3" t="s">
        <v>151</v>
      </c>
      <c r="G246" s="3" t="s">
        <v>1067</v>
      </c>
      <c r="H246" s="3" t="s">
        <v>1068</v>
      </c>
      <c r="I246" s="5" t="n">
        <v>1</v>
      </c>
    </row>
    <row r="247" customFormat="false" ht="23.85" hidden="false" customHeight="false" outlineLevel="0" collapsed="false">
      <c r="A247" s="2" t="s">
        <v>1069</v>
      </c>
      <c r="B247" s="2" t="s">
        <v>1004</v>
      </c>
      <c r="C247" s="2" t="s">
        <v>1005</v>
      </c>
      <c r="D247" s="3" t="s">
        <v>1070</v>
      </c>
      <c r="E247" s="6" t="s">
        <v>31</v>
      </c>
      <c r="F247" s="3" t="s">
        <v>1039</v>
      </c>
      <c r="G247" s="3" t="s">
        <v>1071</v>
      </c>
      <c r="H247" s="3" t="s">
        <v>1072</v>
      </c>
      <c r="I247" s="5" t="n">
        <v>2</v>
      </c>
    </row>
    <row r="248" customFormat="false" ht="23.85" hidden="false" customHeight="false" outlineLevel="0" collapsed="false">
      <c r="A248" s="2" t="s">
        <v>1073</v>
      </c>
      <c r="B248" s="2" t="s">
        <v>1004</v>
      </c>
      <c r="C248" s="2" t="s">
        <v>1005</v>
      </c>
      <c r="D248" s="3" t="s">
        <v>1074</v>
      </c>
      <c r="E248" s="7" t="s">
        <v>73</v>
      </c>
      <c r="F248" s="3" t="s">
        <v>608</v>
      </c>
      <c r="G248" s="3" t="s">
        <v>1075</v>
      </c>
      <c r="H248" s="3" t="s">
        <v>1076</v>
      </c>
      <c r="I248" s="5" t="n">
        <v>2</v>
      </c>
    </row>
    <row r="249" customFormat="false" ht="23.85" hidden="false" customHeight="false" outlineLevel="0" collapsed="false">
      <c r="A249" s="2" t="s">
        <v>1077</v>
      </c>
      <c r="B249" s="2" t="s">
        <v>1004</v>
      </c>
      <c r="C249" s="2" t="s">
        <v>1005</v>
      </c>
      <c r="D249" s="3" t="s">
        <v>1078</v>
      </c>
      <c r="E249" s="6" t="s">
        <v>31</v>
      </c>
      <c r="F249" s="3" t="s">
        <v>848</v>
      </c>
      <c r="G249" s="3" t="s">
        <v>1079</v>
      </c>
      <c r="H249" s="3" t="s">
        <v>1080</v>
      </c>
      <c r="I249" s="5" t="n">
        <v>2</v>
      </c>
    </row>
    <row r="250" customFormat="false" ht="23.85" hidden="false" customHeight="false" outlineLevel="0" collapsed="false">
      <c r="A250" s="2" t="s">
        <v>1081</v>
      </c>
      <c r="B250" s="2" t="s">
        <v>1004</v>
      </c>
      <c r="C250" s="2" t="s">
        <v>1005</v>
      </c>
      <c r="D250" s="3" t="s">
        <v>1082</v>
      </c>
      <c r="E250" s="7" t="s">
        <v>73</v>
      </c>
      <c r="F250" s="3" t="s">
        <v>1083</v>
      </c>
      <c r="G250" s="3" t="s">
        <v>1084</v>
      </c>
      <c r="H250" s="3" t="s">
        <v>1085</v>
      </c>
      <c r="I250" s="5" t="n">
        <v>2</v>
      </c>
    </row>
    <row r="251" customFormat="false" ht="23.85" hidden="false" customHeight="false" outlineLevel="0" collapsed="false">
      <c r="A251" s="2" t="s">
        <v>1086</v>
      </c>
      <c r="B251" s="2" t="s">
        <v>1004</v>
      </c>
      <c r="C251" s="2" t="s">
        <v>1005</v>
      </c>
      <c r="D251" s="3" t="s">
        <v>1087</v>
      </c>
      <c r="E251" s="8" t="s">
        <v>1088</v>
      </c>
      <c r="F251" s="3" t="s">
        <v>1081</v>
      </c>
      <c r="G251" s="3" t="s">
        <v>1089</v>
      </c>
      <c r="H251" s="3" t="s">
        <v>1090</v>
      </c>
      <c r="I251" s="5" t="n">
        <v>1</v>
      </c>
    </row>
  </sheetData>
  <autoFilter ref="A1:I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9" t="s">
        <v>1091</v>
      </c>
    </row>
    <row r="3" customFormat="false" ht="15" hidden="false" customHeight="false" outlineLevel="0" collapsed="false">
      <c r="A3" s="10" t="s">
        <v>1092</v>
      </c>
      <c r="B3" s="10" t="n">
        <f aca="false">COUNTA(Backlog!A2:A251)</f>
        <v>250</v>
      </c>
    </row>
    <row r="4" customFormat="false" ht="15" hidden="false" customHeight="false" outlineLevel="0" collapsed="false">
      <c r="A4" s="10" t="s">
        <v>1093</v>
      </c>
      <c r="B4" s="10" t="n">
        <f aca="false">SUM(Backlog!I2:I251)</f>
        <v>396</v>
      </c>
    </row>
    <row r="5" customFormat="false" ht="15" hidden="false" customHeight="false" outlineLevel="0" collapsed="false">
      <c r="A5" s="10" t="s">
        <v>1094</v>
      </c>
      <c r="B5" s="10" t="n">
        <f aca="false">B4/40</f>
        <v>9.9</v>
      </c>
    </row>
    <row r="7" customFormat="false" ht="15" hidden="false" customHeight="false" outlineLevel="0" collapsed="false">
      <c r="A7" s="11" t="s">
        <v>1095</v>
      </c>
    </row>
    <row r="8" customFormat="false" ht="15" hidden="false" customHeight="false" outlineLevel="0" collapsed="false">
      <c r="A8" s="12" t="s">
        <v>4</v>
      </c>
      <c r="B8" s="12" t="s">
        <v>1096</v>
      </c>
      <c r="C8" s="12" t="s">
        <v>1097</v>
      </c>
    </row>
    <row r="9" customFormat="false" ht="15" hidden="false" customHeight="false" outlineLevel="0" collapsed="false">
      <c r="A9" s="10" t="s">
        <v>13</v>
      </c>
      <c r="B9" s="10" t="n">
        <f aca="false">COUNTIF(Backlog!E2:E251,A9)</f>
        <v>144</v>
      </c>
      <c r="C9" s="10" t="n">
        <f aca="false">SUMIF(Backlog!E2:E251,A9,Backlog!I2:I251)</f>
        <v>231</v>
      </c>
    </row>
    <row r="10" customFormat="false" ht="15" hidden="false" customHeight="false" outlineLevel="0" collapsed="false">
      <c r="A10" s="10" t="s">
        <v>31</v>
      </c>
      <c r="B10" s="10" t="n">
        <f aca="false">COUNTIF(Backlog!E2:E251,A10)</f>
        <v>72</v>
      </c>
      <c r="C10" s="10" t="n">
        <f aca="false">SUMIF(Backlog!E2:E251,A10,Backlog!I2:I251)</f>
        <v>115</v>
      </c>
    </row>
    <row r="11" customFormat="false" ht="15" hidden="false" customHeight="false" outlineLevel="0" collapsed="false">
      <c r="A11" s="10" t="s">
        <v>73</v>
      </c>
      <c r="B11" s="10" t="n">
        <f aca="false">COUNTIF(Backlog!E2:E251,A11)</f>
        <v>33</v>
      </c>
      <c r="C11" s="10" t="n">
        <f aca="false">SUMIF(Backlog!E2:E251,A11,Backlog!I2:I251)</f>
        <v>49</v>
      </c>
    </row>
    <row r="12" customFormat="false" ht="15" hidden="false" customHeight="false" outlineLevel="0" collapsed="false">
      <c r="A12" s="10" t="s">
        <v>1088</v>
      </c>
      <c r="B12" s="10" t="n">
        <f aca="false">COUNTIF(Backlog!E2:E251,A12)</f>
        <v>1</v>
      </c>
      <c r="C12" s="10" t="n">
        <f aca="false">SUMIF(Backlog!E2:E251,A12,Backlog!I2:I251)</f>
        <v>1</v>
      </c>
    </row>
    <row r="14" customFormat="false" ht="15" hidden="false" customHeight="false" outlineLevel="0" collapsed="false">
      <c r="A14" s="11" t="s">
        <v>1098</v>
      </c>
    </row>
    <row r="15" customFormat="false" ht="15" hidden="false" customHeight="false" outlineLevel="0" collapsed="false">
      <c r="A15" s="12" t="s">
        <v>2</v>
      </c>
      <c r="B15" s="12" t="s">
        <v>1096</v>
      </c>
      <c r="C15" s="12" t="s">
        <v>1097</v>
      </c>
    </row>
    <row r="16" customFormat="false" ht="15" hidden="false" customHeight="false" outlineLevel="0" collapsed="false">
      <c r="A16" s="10" t="s">
        <v>11</v>
      </c>
      <c r="B16" s="10" t="n">
        <f aca="false">COUNTIF(Backlog!C2:C251,A16)</f>
        <v>15</v>
      </c>
      <c r="C16" s="10" t="n">
        <f aca="false">SUMIF(Backlog!C2:C251,A16,Backlog!I2:I251)</f>
        <v>21</v>
      </c>
    </row>
    <row r="17" customFormat="false" ht="15" hidden="false" customHeight="false" outlineLevel="0" collapsed="false">
      <c r="A17" s="10" t="s">
        <v>78</v>
      </c>
      <c r="B17" s="10" t="n">
        <f aca="false">COUNTIF(Backlog!C2:C251,A17)</f>
        <v>20</v>
      </c>
      <c r="C17" s="10" t="n">
        <f aca="false">SUMIF(Backlog!C2:C251,A17,Backlog!I2:I251)</f>
        <v>32</v>
      </c>
    </row>
    <row r="18" customFormat="false" ht="15" hidden="false" customHeight="false" outlineLevel="0" collapsed="false">
      <c r="A18" s="10" t="s">
        <v>162</v>
      </c>
      <c r="B18" s="10" t="n">
        <f aca="false">COUNTIF(Backlog!C2:C251,A18)</f>
        <v>15</v>
      </c>
      <c r="C18" s="10" t="n">
        <f aca="false">SUMIF(Backlog!C2:C251,A18,Backlog!I2:I251)</f>
        <v>25</v>
      </c>
    </row>
    <row r="19" customFormat="false" ht="15" hidden="false" customHeight="false" outlineLevel="0" collapsed="false">
      <c r="A19" s="10" t="s">
        <v>229</v>
      </c>
      <c r="B19" s="10" t="n">
        <f aca="false">COUNTIF(Backlog!C2:C251,A19)</f>
        <v>15</v>
      </c>
      <c r="C19" s="10" t="n">
        <f aca="false">SUMIF(Backlog!C2:C251,A19,Backlog!I2:I251)</f>
        <v>24</v>
      </c>
    </row>
    <row r="20" customFormat="false" ht="15" hidden="false" customHeight="false" outlineLevel="0" collapsed="false">
      <c r="A20" s="10" t="s">
        <v>295</v>
      </c>
      <c r="B20" s="10" t="n">
        <f aca="false">COUNTIF(Backlog!C2:C251,A20)</f>
        <v>15</v>
      </c>
      <c r="C20" s="10" t="n">
        <f aca="false">SUMIF(Backlog!C2:C251,A20,Backlog!I2:I251)</f>
        <v>23</v>
      </c>
    </row>
    <row r="21" customFormat="false" ht="15" hidden="false" customHeight="false" outlineLevel="0" collapsed="false">
      <c r="A21" s="10" t="s">
        <v>359</v>
      </c>
      <c r="B21" s="10" t="n">
        <f aca="false">COUNTIF(Backlog!C2:C251,A21)</f>
        <v>8</v>
      </c>
      <c r="C21" s="10" t="n">
        <f aca="false">SUMIF(Backlog!C2:C251,A21,Backlog!I2:I251)</f>
        <v>11</v>
      </c>
    </row>
    <row r="22" customFormat="false" ht="15" hidden="false" customHeight="false" outlineLevel="0" collapsed="false">
      <c r="A22" s="10" t="s">
        <v>395</v>
      </c>
      <c r="B22" s="10" t="n">
        <f aca="false">COUNTIF(Backlog!C2:C251,A22)</f>
        <v>15</v>
      </c>
      <c r="C22" s="10" t="n">
        <f aca="false">SUMIF(Backlog!C2:C251,A22,Backlog!I2:I251)</f>
        <v>23</v>
      </c>
    </row>
    <row r="23" customFormat="false" ht="15" hidden="false" customHeight="false" outlineLevel="0" collapsed="false">
      <c r="A23" s="10" t="s">
        <v>459</v>
      </c>
      <c r="B23" s="10" t="n">
        <f aca="false">COUNTIF(Backlog!C2:C251,A23)</f>
        <v>35</v>
      </c>
      <c r="C23" s="10" t="n">
        <f aca="false">SUMIF(Backlog!C2:C251,A23,Backlog!I2:I251)</f>
        <v>57</v>
      </c>
    </row>
    <row r="24" customFormat="false" ht="15" hidden="false" customHeight="false" outlineLevel="0" collapsed="false">
      <c r="A24" s="10" t="s">
        <v>615</v>
      </c>
      <c r="B24" s="10" t="n">
        <f aca="false">COUNTIF(Backlog!C2:C251,A24)</f>
        <v>20</v>
      </c>
      <c r="C24" s="10" t="n">
        <f aca="false">SUMIF(Backlog!C2:C251,A24,Backlog!I2:I251)</f>
        <v>32</v>
      </c>
    </row>
    <row r="25" customFormat="false" ht="15" hidden="false" customHeight="false" outlineLevel="0" collapsed="false">
      <c r="A25" s="10" t="s">
        <v>703</v>
      </c>
      <c r="B25" s="10" t="n">
        <f aca="false">COUNTIF(Backlog!C2:C251,A25)</f>
        <v>12</v>
      </c>
      <c r="C25" s="10" t="n">
        <f aca="false">SUMIF(Backlog!C2:C251,A25,Backlog!I2:I251)</f>
        <v>17</v>
      </c>
    </row>
    <row r="26" customFormat="false" ht="15" hidden="false" customHeight="false" outlineLevel="0" collapsed="false">
      <c r="A26" s="10" t="s">
        <v>755</v>
      </c>
      <c r="B26" s="10" t="n">
        <f aca="false">COUNTIF(Backlog!C2:C251,A26)</f>
        <v>15</v>
      </c>
      <c r="C26" s="10" t="n">
        <f aca="false">SUMIF(Backlog!C2:C251,A26,Backlog!I2:I251)</f>
        <v>24</v>
      </c>
    </row>
    <row r="27" customFormat="false" ht="15" hidden="false" customHeight="false" outlineLevel="0" collapsed="false">
      <c r="A27" s="10" t="s">
        <v>820</v>
      </c>
      <c r="B27" s="10" t="n">
        <f aca="false">COUNTIF(Backlog!C2:C251,A27)</f>
        <v>45</v>
      </c>
      <c r="C27" s="10" t="n">
        <f aca="false">SUMIF(Backlog!C2:C251,A27,Backlog!I2:I251)</f>
        <v>76</v>
      </c>
    </row>
    <row r="28" customFormat="false" ht="15" hidden="false" customHeight="false" outlineLevel="0" collapsed="false">
      <c r="A28" s="10" t="s">
        <v>1005</v>
      </c>
      <c r="B28" s="10" t="n">
        <f aca="false">COUNTIF(Backlog!C2:C251,A28)</f>
        <v>20</v>
      </c>
      <c r="C28" s="10" t="n">
        <f aca="false">SUMIF(Backlog!C2:C251,A28,Backlog!I2:I251)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2026-07-19T05:33:38Z</dcterms:created>
  <dc:creator>openpyxl</dc:creator>
  <dc:description/>
  <dc:language>en-US</dc:language>
  <cp:lastModifiedBy/>
  <dcterms:modified xsi:type="dcterms:W3CDTF">2026-07-19T05:33:38Z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